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\Documents\RESUME\AUTOMATION\"/>
    </mc:Choice>
  </mc:AlternateContent>
  <xr:revisionPtr revIDLastSave="0" documentId="13_ncr:1_{420DF1C6-6AB5-44AE-988B-BCE8302D9365}" xr6:coauthVersionLast="47" xr6:coauthVersionMax="47" xr10:uidLastSave="{00000000-0000-0000-0000-000000000000}"/>
  <bookViews>
    <workbookView xWindow="-108" yWindow="-108" windowWidth="23256" windowHeight="12576" xr2:uid="{8E34763E-CE80-4E72-A58B-AE07997A2B38}"/>
  </bookViews>
  <sheets>
    <sheet name="DESCRIPTION" sheetId="39" r:id="rId1"/>
    <sheet name="Buyer" sheetId="38" r:id="rId2"/>
    <sheet name="Product" sheetId="37" r:id="rId3"/>
    <sheet name="Vendor" sheetId="36" r:id="rId4"/>
    <sheet name="Report" sheetId="35" r:id="rId5"/>
  </sheets>
  <calcPr calcId="191029"/>
  <pivotCaches>
    <pivotCache cacheId="12" r:id="rId6"/>
    <pivotCache cacheId="22" r:id="rId7"/>
    <pivotCache cacheId="3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<sst xmlns="http://schemas.openxmlformats.org/spreadsheetml/2006/main" count="429" uniqueCount="59">
  <si>
    <t>Warehouse</t>
  </si>
  <si>
    <t>Transaction Source</t>
  </si>
  <si>
    <t>Product ID</t>
  </si>
  <si>
    <t>Commodity Code</t>
  </si>
  <si>
    <t>Category Manager</t>
  </si>
  <si>
    <t>Vendor</t>
  </si>
  <si>
    <t>Net Sales</t>
  </si>
  <si>
    <t>Actual Cost-Drayage</t>
  </si>
  <si>
    <t>Buyer</t>
  </si>
  <si>
    <t>PI</t>
  </si>
  <si>
    <t>SO</t>
  </si>
  <si>
    <t>Grand Total</t>
  </si>
  <si>
    <t>Sum of Net Sales</t>
  </si>
  <si>
    <t>Sum of Actual Cost-Drayage</t>
  </si>
  <si>
    <t>(All)</t>
  </si>
  <si>
    <t>Sum of Margin</t>
  </si>
  <si>
    <t>Sum of Margin %</t>
  </si>
  <si>
    <t xml:space="preserve"> </t>
  </si>
  <si>
    <t xml:space="preserve">Net Sales </t>
  </si>
  <si>
    <t xml:space="preserve">Actual Cost-Drayage </t>
  </si>
  <si>
    <t>Item</t>
  </si>
  <si>
    <t xml:space="preserve"> Margin</t>
  </si>
  <si>
    <t xml:space="preserve"> Margin %</t>
  </si>
  <si>
    <t>Category Mgr &gt; Commodity &gt; Item</t>
  </si>
  <si>
    <t xml:space="preserve"> Margin </t>
  </si>
  <si>
    <t xml:space="preserve"> Margin % </t>
  </si>
  <si>
    <t>WAREHOUSE 1</t>
  </si>
  <si>
    <t>WAREHOUSE 2</t>
  </si>
  <si>
    <t>WAREHOUSE 3</t>
  </si>
  <si>
    <t>WAREHOUSE 4</t>
  </si>
  <si>
    <t>PRODUCT 1</t>
  </si>
  <si>
    <t>PRODUCT 9</t>
  </si>
  <si>
    <t>COMMODITY 3</t>
  </si>
  <si>
    <t>MANAGER 3</t>
  </si>
  <si>
    <t>VENDOR 2</t>
  </si>
  <si>
    <t>BUYER 4</t>
  </si>
  <si>
    <t>PRODUCT 5</t>
  </si>
  <si>
    <t>COMMODITY 2</t>
  </si>
  <si>
    <t>MANAGER 2</t>
  </si>
  <si>
    <t>VENDOR 1</t>
  </si>
  <si>
    <t>BUYER 2</t>
  </si>
  <si>
    <t>PRODUCT 6</t>
  </si>
  <si>
    <t>PRODUCT 10</t>
  </si>
  <si>
    <t>VENDOR 4</t>
  </si>
  <si>
    <t>PRODUCT 8</t>
  </si>
  <si>
    <t>VENDOR 3</t>
  </si>
  <si>
    <t>PRODUCT 2</t>
  </si>
  <si>
    <t>COMMODITY 1</t>
  </si>
  <si>
    <t>MANAGER 1</t>
  </si>
  <si>
    <t>BUYER 3</t>
  </si>
  <si>
    <t>VENDOR 5</t>
  </si>
  <si>
    <t>BUYER 1</t>
  </si>
  <si>
    <t>PRODUCT 3</t>
  </si>
  <si>
    <t>BUYER 5</t>
  </si>
  <si>
    <t>PRODUCT 7</t>
  </si>
  <si>
    <t>PRODUCT 4</t>
  </si>
  <si>
    <t>A user would copy and paste their generated sales report into the "Report" worksheet.</t>
  </si>
  <si>
    <t>Then run the "item_margin_macro" found under View &gt; Macros &gt; item_margin_macro.</t>
  </si>
  <si>
    <t>The macro then creates multiple pivot tables.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</si>
</sst>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;[Red]\(&quot;$&quot;#,##0\)"/>
  </numFmts>
  <fonts count="4" x14ac:knownFonts="1">
    <font>
      <sz val="11"/>
      <color theme="1"/>
      <name val="Calibri"/>
      <family val="2"/>
      <scheme val="minor"/>
    </font>
    <font>
      <sz val="10.5"/>
      <color rgb="FF343334"/>
      <name val="IBM Plex Sans"/>
      <family val="2"/>
    </font>
    <font>
      <sz val="10"/>
      <color rgb="FF000000"/>
      <name val="Tahoma"/>
      <family val="2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AEAEA"/>
        <bgColor rgb="FF000000"/>
      </patternFill>
    </fill>
  </fills>
  <borders count="3">
    <border>
      <left/>
      <right/>
      <top/>
      <bottom/>
      <diagonal/>
    </border>
    <border>
      <left style="medium">
        <color rgb="FFC0BFC0"/>
      </left>
      <right style="medium">
        <color rgb="FFC0BFC0"/>
      </right>
      <top style="medium">
        <color rgb="FFC0BFC0"/>
      </top>
      <bottom style="medium">
        <color rgb="FFC0BFC0"/>
      </bottom>
      <diagonal/>
    </border>
    <border>
      <left style="medium">
        <color rgb="FFC0BFC0"/>
      </left>
      <right style="medium">
        <color rgb="FFC0BFC0"/>
      </right>
      <top/>
      <bottom style="medium">
        <color rgb="FFC0BFC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2" fillId="0" borderId="0" xfId="0" applyFont="1"/>
    <xf numFmtId="0" fontId="2" fillId="0" borderId="0" xfId="0" applyFont="1" applyAlignment="1">
      <alignment wrapText="1"/>
    </xf>
    <xf numFmtId="0" fontId="1" fillId="0" borderId="2" xfId="0" applyFont="1" applyBorder="1" applyAlignment="1">
      <alignment horizontal="left" vertical="top"/>
    </xf>
    <xf numFmtId="0" fontId="1" fillId="0" borderId="2" xfId="0" applyFont="1" applyBorder="1" applyAlignment="1">
      <alignment horizontal="right" vertical="top"/>
    </xf>
    <xf numFmtId="8" fontId="1" fillId="0" borderId="2" xfId="0" applyNumberFormat="1" applyFont="1" applyBorder="1" applyAlignment="1">
      <alignment horizontal="right" vertical="top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e" refreshedDate="45214.509706944445" createdVersion="3" refreshedVersion="8" minRefreshableVersion="3" recordCount="50" xr:uid="{CF71BDE5-95B3-43D5-B729-63C3897377E6}">
  <cacheSource type="worksheet">
    <worksheetSource ref="A1:I51" sheet="Report"/>
  </cacheSource>
  <cacheFields count="11">
    <cacheField name="Warehouse" numFmtId="0">
      <sharedItems count="4">
        <s v="WAREHOUSE 1"/>
        <s v="WAREHOUSE 2"/>
        <s v="WAREHOUSE 3"/>
        <s v="WAREHOUSE 4"/>
      </sharedItems>
    </cacheField>
    <cacheField name="Transaction Source" numFmtId="0">
      <sharedItems count="2">
        <s v="SO"/>
        <s v="PI"/>
      </sharedItems>
    </cacheField>
    <cacheField name="Product ID" numFmtId="0">
      <sharedItems/>
    </cacheField>
    <cacheField name="Commodity Code" numFmtId="0">
      <sharedItems count="3">
        <s v="COMMODITY 2"/>
        <s v="COMMODITY 1"/>
        <s v="COMMODITY 3"/>
      </sharedItems>
    </cacheField>
    <cacheField name="Category Manager" numFmtId="0">
      <sharedItems count="3">
        <s v="MANAGER 2"/>
        <s v="MANAGER 1"/>
        <s v="MANAGER 3"/>
      </sharedItems>
    </cacheField>
    <cacheField name="Vendor" numFmtId="0">
      <sharedItems count="5">
        <s v="VENDOR 4"/>
        <s v="VENDOR 2"/>
        <s v="VENDOR 1"/>
        <s v="VENDOR 3"/>
        <s v="VENDOR 5"/>
      </sharedItems>
    </cacheField>
    <cacheField name="Net Sales" numFmtId="8">
      <sharedItems containsSemiMixedTypes="0" containsString="0" containsNumber="1" containsInteger="1" minValue="10" maxValue="99"/>
    </cacheField>
    <cacheField name="Actual Cost-Drayage" numFmtId="8">
      <sharedItems containsSemiMixedTypes="0" containsString="0" containsNumber="1" containsInteger="1" minValue="6" maxValue="93"/>
    </cacheField>
    <cacheField name="Buyer" numFmtId="0">
      <sharedItems count="5">
        <s v="BUYER 1"/>
        <s v="BUYER 5"/>
        <s v="BUYER 3"/>
        <s v="BUYER 2"/>
        <s v="BUYER 4"/>
      </sharedItems>
    </cacheField>
    <cacheField name="Margin" numFmtId="0" formula="'Net Sales' -'Actual Cost-Drayage'" databaseField="0"/>
    <cacheField name="Margin %" numFmtId="0" formula="Margin /'Net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e" refreshedDate="45214.50972094907" createdVersion="3" refreshedVersion="8" minRefreshableVersion="3" recordCount="50" xr:uid="{F9C2B619-C0F3-4B17-9F0D-2E1BE3AE5653}">
  <cacheSource type="worksheet">
    <worksheetSource ref="A1:I51" sheet="Report"/>
  </cacheSource>
  <cacheFields count="11">
    <cacheField name="Warehouse" numFmtId="0">
      <sharedItems count="4">
        <s v="WAREHOUSE 1"/>
        <s v="WAREHOUSE 2"/>
        <s v="WAREHOUSE 3"/>
        <s v="WAREHOUSE 4"/>
      </sharedItems>
    </cacheField>
    <cacheField name="Transaction Source" numFmtId="0">
      <sharedItems count="2">
        <s v="SO"/>
        <s v="PI"/>
      </sharedItems>
    </cacheField>
    <cacheField name="Product ID" numFmtId="0">
      <sharedItems count="10">
        <s v="PRODUCT 5"/>
        <s v="PRODUCT 4"/>
        <s v="PRODUCT 2"/>
        <s v="PRODUCT 9"/>
        <s v="PRODUCT 10"/>
        <s v="PRODUCT 8"/>
        <s v="PRODUCT 3"/>
        <s v="PRODUCT 7"/>
        <s v="PRODUCT 6"/>
        <s v="PRODUCT 1"/>
      </sharedItems>
    </cacheField>
    <cacheField name="Commodity Code" numFmtId="0">
      <sharedItems count="3">
        <s v="COMMODITY 2"/>
        <s v="COMMODITY 1"/>
        <s v="COMMODITY 3"/>
      </sharedItems>
    </cacheField>
    <cacheField name="Category Manager" numFmtId="0">
      <sharedItems count="3">
        <s v="MANAGER 2"/>
        <s v="MANAGER 1"/>
        <s v="MANAGER 3"/>
      </sharedItems>
    </cacheField>
    <cacheField name="Vendor" numFmtId="0">
      <sharedItems/>
    </cacheField>
    <cacheField name="Net Sales" numFmtId="8">
      <sharedItems containsSemiMixedTypes="0" containsString="0" containsNumber="1" containsInteger="1" minValue="10" maxValue="99"/>
    </cacheField>
    <cacheField name="Actual Cost-Drayage" numFmtId="8">
      <sharedItems containsSemiMixedTypes="0" containsString="0" containsNumber="1" containsInteger="1" minValue="6" maxValue="93"/>
    </cacheField>
    <cacheField name="Buyer" numFmtId="0">
      <sharedItems count="5">
        <s v="BUYER 1"/>
        <s v="BUYER 5"/>
        <s v="BUYER 3"/>
        <s v="BUYER 2"/>
        <s v="BUYER 4"/>
      </sharedItems>
    </cacheField>
    <cacheField name="Margin" numFmtId="0" formula="'Net Sales' -'Actual Cost-Drayage'" databaseField="0"/>
    <cacheField name="Margin %" numFmtId="0" formula="Margin /'Net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te" refreshedDate="45214.509737384258" createdVersion="3" refreshedVersion="8" minRefreshableVersion="3" recordCount="50" xr:uid="{144DAA16-AF94-4BF2-9CA8-69A97555BBCF}">
  <cacheSource type="worksheet">
    <worksheetSource ref="A1:I51" sheet="Report"/>
  </cacheSource>
  <cacheFields count="11">
    <cacheField name="Warehouse" numFmtId="0">
      <sharedItems count="4">
        <s v="WAREHOUSE 1"/>
        <s v="WAREHOUSE 2"/>
        <s v="WAREHOUSE 3"/>
        <s v="WAREHOUSE 4"/>
      </sharedItems>
    </cacheField>
    <cacheField name="Transaction Source" numFmtId="0">
      <sharedItems count="2">
        <s v="SO"/>
        <s v="PI"/>
      </sharedItems>
    </cacheField>
    <cacheField name="Product ID" numFmtId="0">
      <sharedItems count="10">
        <s v="PRODUCT 5"/>
        <s v="PRODUCT 4"/>
        <s v="PRODUCT 2"/>
        <s v="PRODUCT 9"/>
        <s v="PRODUCT 10"/>
        <s v="PRODUCT 8"/>
        <s v="PRODUCT 3"/>
        <s v="PRODUCT 7"/>
        <s v="PRODUCT 6"/>
        <s v="PRODUCT 1"/>
      </sharedItems>
    </cacheField>
    <cacheField name="Commodity Code" numFmtId="0">
      <sharedItems count="3">
        <s v="COMMODITY 2"/>
        <s v="COMMODITY 1"/>
        <s v="COMMODITY 3"/>
      </sharedItems>
    </cacheField>
    <cacheField name="Category Manager" numFmtId="0">
      <sharedItems count="3">
        <s v="MANAGER 2"/>
        <s v="MANAGER 1"/>
        <s v="MANAGER 3"/>
      </sharedItems>
    </cacheField>
    <cacheField name="Vendor" numFmtId="0">
      <sharedItems count="5">
        <s v="VENDOR 4"/>
        <s v="VENDOR 2"/>
        <s v="VENDOR 1"/>
        <s v="VENDOR 3"/>
        <s v="VENDOR 5"/>
      </sharedItems>
    </cacheField>
    <cacheField name="Net Sales" numFmtId="8">
      <sharedItems containsSemiMixedTypes="0" containsString="0" containsNumber="1" containsInteger="1" minValue="10" maxValue="99"/>
    </cacheField>
    <cacheField name="Actual Cost-Drayage" numFmtId="8">
      <sharedItems containsSemiMixedTypes="0" containsString="0" containsNumber="1" containsInteger="1" minValue="6" maxValue="93"/>
    </cacheField>
    <cacheField name="Buyer" numFmtId="0">
      <sharedItems count="5">
        <s v="BUYER 1"/>
        <s v="BUYER 5"/>
        <s v="BUYER 3"/>
        <s v="BUYER 2"/>
        <s v="BUYER 4"/>
      </sharedItems>
    </cacheField>
    <cacheField name="Margin" numFmtId="0" formula="'Net Sales' -'Actual Cost-Drayage'" databaseField="0"/>
    <cacheField name="Margin %" numFmtId="0" formula="Margin /'Net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s v="PRODUCT 5"/>
    <x v="0"/>
    <x v="0"/>
    <x v="0"/>
    <n v="40"/>
    <n v="35"/>
    <x v="0"/>
  </r>
  <r>
    <x v="0"/>
    <x v="0"/>
    <s v="PRODUCT 4"/>
    <x v="0"/>
    <x v="0"/>
    <x v="1"/>
    <n v="17"/>
    <n v="14"/>
    <x v="1"/>
  </r>
  <r>
    <x v="0"/>
    <x v="0"/>
    <s v="PRODUCT 2"/>
    <x v="1"/>
    <x v="1"/>
    <x v="2"/>
    <n v="30"/>
    <n v="23"/>
    <x v="0"/>
  </r>
  <r>
    <x v="0"/>
    <x v="0"/>
    <s v="PRODUCT 5"/>
    <x v="0"/>
    <x v="0"/>
    <x v="3"/>
    <n v="41"/>
    <n v="35"/>
    <x v="1"/>
  </r>
  <r>
    <x v="0"/>
    <x v="0"/>
    <s v="PRODUCT 2"/>
    <x v="1"/>
    <x v="1"/>
    <x v="1"/>
    <n v="38"/>
    <n v="32"/>
    <x v="0"/>
  </r>
  <r>
    <x v="0"/>
    <x v="0"/>
    <s v="PRODUCT 4"/>
    <x v="0"/>
    <x v="0"/>
    <x v="1"/>
    <n v="50"/>
    <n v="48"/>
    <x v="0"/>
  </r>
  <r>
    <x v="0"/>
    <x v="0"/>
    <s v="PRODUCT 5"/>
    <x v="0"/>
    <x v="0"/>
    <x v="0"/>
    <n v="80"/>
    <n v="78"/>
    <x v="2"/>
  </r>
  <r>
    <x v="0"/>
    <x v="0"/>
    <s v="PRODUCT 9"/>
    <x v="2"/>
    <x v="2"/>
    <x v="3"/>
    <n v="79"/>
    <n v="70"/>
    <x v="0"/>
  </r>
  <r>
    <x v="0"/>
    <x v="0"/>
    <s v="PRODUCT 10"/>
    <x v="2"/>
    <x v="2"/>
    <x v="2"/>
    <n v="51"/>
    <n v="45"/>
    <x v="3"/>
  </r>
  <r>
    <x v="0"/>
    <x v="0"/>
    <s v="PRODUCT 5"/>
    <x v="0"/>
    <x v="0"/>
    <x v="2"/>
    <n v="79"/>
    <n v="74"/>
    <x v="2"/>
  </r>
  <r>
    <x v="0"/>
    <x v="0"/>
    <s v="PRODUCT 10"/>
    <x v="2"/>
    <x v="2"/>
    <x v="2"/>
    <n v="32"/>
    <n v="31"/>
    <x v="2"/>
  </r>
  <r>
    <x v="0"/>
    <x v="0"/>
    <s v="PRODUCT 8"/>
    <x v="2"/>
    <x v="2"/>
    <x v="3"/>
    <n v="95"/>
    <n v="93"/>
    <x v="0"/>
  </r>
  <r>
    <x v="0"/>
    <x v="1"/>
    <s v="PRODUCT 4"/>
    <x v="0"/>
    <x v="0"/>
    <x v="1"/>
    <n v="90"/>
    <n v="83"/>
    <x v="1"/>
  </r>
  <r>
    <x v="0"/>
    <x v="1"/>
    <s v="PRODUCT 10"/>
    <x v="2"/>
    <x v="2"/>
    <x v="2"/>
    <n v="71"/>
    <n v="67"/>
    <x v="3"/>
  </r>
  <r>
    <x v="1"/>
    <x v="1"/>
    <s v="PRODUCT 3"/>
    <x v="1"/>
    <x v="1"/>
    <x v="4"/>
    <n v="91"/>
    <n v="88"/>
    <x v="4"/>
  </r>
  <r>
    <x v="1"/>
    <x v="0"/>
    <s v="PRODUCT 9"/>
    <x v="2"/>
    <x v="2"/>
    <x v="1"/>
    <n v="74"/>
    <n v="69"/>
    <x v="3"/>
  </r>
  <r>
    <x v="1"/>
    <x v="0"/>
    <s v="PRODUCT 7"/>
    <x v="0"/>
    <x v="0"/>
    <x v="3"/>
    <n v="51"/>
    <n v="50"/>
    <x v="4"/>
  </r>
  <r>
    <x v="1"/>
    <x v="0"/>
    <s v="PRODUCT 2"/>
    <x v="1"/>
    <x v="1"/>
    <x v="3"/>
    <n v="78"/>
    <n v="69"/>
    <x v="3"/>
  </r>
  <r>
    <x v="1"/>
    <x v="0"/>
    <s v="PRODUCT 8"/>
    <x v="2"/>
    <x v="2"/>
    <x v="0"/>
    <n v="94"/>
    <n v="91"/>
    <x v="3"/>
  </r>
  <r>
    <x v="1"/>
    <x v="0"/>
    <s v="PRODUCT 10"/>
    <x v="2"/>
    <x v="2"/>
    <x v="2"/>
    <n v="93"/>
    <n v="86"/>
    <x v="2"/>
  </r>
  <r>
    <x v="1"/>
    <x v="0"/>
    <s v="PRODUCT 10"/>
    <x v="2"/>
    <x v="2"/>
    <x v="3"/>
    <n v="48"/>
    <n v="44"/>
    <x v="3"/>
  </r>
  <r>
    <x v="1"/>
    <x v="0"/>
    <s v="PRODUCT 6"/>
    <x v="0"/>
    <x v="0"/>
    <x v="3"/>
    <n v="23"/>
    <n v="13"/>
    <x v="4"/>
  </r>
  <r>
    <x v="1"/>
    <x v="0"/>
    <s v="PRODUCT 4"/>
    <x v="0"/>
    <x v="0"/>
    <x v="0"/>
    <n v="34"/>
    <n v="24"/>
    <x v="1"/>
  </r>
  <r>
    <x v="1"/>
    <x v="1"/>
    <s v="PRODUCT 1"/>
    <x v="1"/>
    <x v="1"/>
    <x v="0"/>
    <n v="70"/>
    <n v="60"/>
    <x v="4"/>
  </r>
  <r>
    <x v="2"/>
    <x v="0"/>
    <s v="PRODUCT 7"/>
    <x v="0"/>
    <x v="0"/>
    <x v="2"/>
    <n v="60"/>
    <n v="58"/>
    <x v="3"/>
  </r>
  <r>
    <x v="2"/>
    <x v="0"/>
    <s v="PRODUCT 8"/>
    <x v="2"/>
    <x v="2"/>
    <x v="0"/>
    <n v="95"/>
    <n v="89"/>
    <x v="1"/>
  </r>
  <r>
    <x v="2"/>
    <x v="0"/>
    <s v="PRODUCT 9"/>
    <x v="2"/>
    <x v="2"/>
    <x v="2"/>
    <n v="61"/>
    <n v="58"/>
    <x v="1"/>
  </r>
  <r>
    <x v="2"/>
    <x v="0"/>
    <s v="PRODUCT 9"/>
    <x v="2"/>
    <x v="2"/>
    <x v="4"/>
    <n v="29"/>
    <n v="27"/>
    <x v="2"/>
  </r>
  <r>
    <x v="2"/>
    <x v="0"/>
    <s v="PRODUCT 2"/>
    <x v="1"/>
    <x v="1"/>
    <x v="3"/>
    <n v="52"/>
    <n v="48"/>
    <x v="1"/>
  </r>
  <r>
    <x v="2"/>
    <x v="0"/>
    <s v="PRODUCT 3"/>
    <x v="1"/>
    <x v="1"/>
    <x v="2"/>
    <n v="20"/>
    <n v="10"/>
    <x v="2"/>
  </r>
  <r>
    <x v="2"/>
    <x v="0"/>
    <s v="PRODUCT 3"/>
    <x v="1"/>
    <x v="1"/>
    <x v="0"/>
    <n v="60"/>
    <n v="53"/>
    <x v="4"/>
  </r>
  <r>
    <x v="2"/>
    <x v="0"/>
    <s v="PRODUCT 7"/>
    <x v="0"/>
    <x v="0"/>
    <x v="0"/>
    <n v="70"/>
    <n v="66"/>
    <x v="4"/>
  </r>
  <r>
    <x v="2"/>
    <x v="0"/>
    <s v="PRODUCT 1"/>
    <x v="1"/>
    <x v="1"/>
    <x v="3"/>
    <n v="38"/>
    <n v="32"/>
    <x v="0"/>
  </r>
  <r>
    <x v="2"/>
    <x v="0"/>
    <s v="PRODUCT 10"/>
    <x v="2"/>
    <x v="2"/>
    <x v="2"/>
    <n v="99"/>
    <n v="89"/>
    <x v="1"/>
  </r>
  <r>
    <x v="2"/>
    <x v="0"/>
    <s v="PRODUCT 8"/>
    <x v="2"/>
    <x v="2"/>
    <x v="1"/>
    <n v="28"/>
    <n v="22"/>
    <x v="4"/>
  </r>
  <r>
    <x v="2"/>
    <x v="0"/>
    <s v="PRODUCT 7"/>
    <x v="0"/>
    <x v="0"/>
    <x v="1"/>
    <n v="74"/>
    <n v="68"/>
    <x v="2"/>
  </r>
  <r>
    <x v="2"/>
    <x v="1"/>
    <s v="PRODUCT 3"/>
    <x v="1"/>
    <x v="1"/>
    <x v="2"/>
    <n v="17"/>
    <n v="9"/>
    <x v="4"/>
  </r>
  <r>
    <x v="2"/>
    <x v="1"/>
    <s v="PRODUCT 2"/>
    <x v="1"/>
    <x v="1"/>
    <x v="2"/>
    <n v="51"/>
    <n v="41"/>
    <x v="0"/>
  </r>
  <r>
    <x v="3"/>
    <x v="0"/>
    <s v="PRODUCT 9"/>
    <x v="2"/>
    <x v="2"/>
    <x v="1"/>
    <n v="99"/>
    <n v="90"/>
    <x v="4"/>
  </r>
  <r>
    <x v="3"/>
    <x v="0"/>
    <s v="PRODUCT 7"/>
    <x v="0"/>
    <x v="0"/>
    <x v="4"/>
    <n v="69"/>
    <n v="64"/>
    <x v="3"/>
  </r>
  <r>
    <x v="3"/>
    <x v="0"/>
    <s v="PRODUCT 8"/>
    <x v="2"/>
    <x v="2"/>
    <x v="1"/>
    <n v="66"/>
    <n v="58"/>
    <x v="0"/>
  </r>
  <r>
    <x v="3"/>
    <x v="0"/>
    <s v="PRODUCT 7"/>
    <x v="0"/>
    <x v="0"/>
    <x v="1"/>
    <n v="37"/>
    <n v="35"/>
    <x v="1"/>
  </r>
  <r>
    <x v="3"/>
    <x v="0"/>
    <s v="PRODUCT 3"/>
    <x v="1"/>
    <x v="1"/>
    <x v="3"/>
    <n v="29"/>
    <n v="22"/>
    <x v="2"/>
  </r>
  <r>
    <x v="3"/>
    <x v="0"/>
    <s v="PRODUCT 8"/>
    <x v="2"/>
    <x v="2"/>
    <x v="3"/>
    <n v="73"/>
    <n v="68"/>
    <x v="4"/>
  </r>
  <r>
    <x v="3"/>
    <x v="0"/>
    <s v="PRODUCT 5"/>
    <x v="0"/>
    <x v="0"/>
    <x v="1"/>
    <n v="55"/>
    <n v="49"/>
    <x v="4"/>
  </r>
  <r>
    <x v="3"/>
    <x v="0"/>
    <s v="PRODUCT 5"/>
    <x v="0"/>
    <x v="0"/>
    <x v="4"/>
    <n v="48"/>
    <n v="38"/>
    <x v="4"/>
  </r>
  <r>
    <x v="3"/>
    <x v="0"/>
    <s v="PRODUCT 1"/>
    <x v="1"/>
    <x v="1"/>
    <x v="0"/>
    <n v="41"/>
    <n v="37"/>
    <x v="4"/>
  </r>
  <r>
    <x v="3"/>
    <x v="0"/>
    <s v="PRODUCT 1"/>
    <x v="1"/>
    <x v="1"/>
    <x v="1"/>
    <n v="81"/>
    <n v="74"/>
    <x v="1"/>
  </r>
  <r>
    <x v="3"/>
    <x v="0"/>
    <s v="PRODUCT 1"/>
    <x v="1"/>
    <x v="1"/>
    <x v="1"/>
    <n v="10"/>
    <n v="6"/>
    <x v="4"/>
  </r>
  <r>
    <x v="3"/>
    <x v="1"/>
    <s v="PRODUCT 3"/>
    <x v="1"/>
    <x v="1"/>
    <x v="4"/>
    <n v="76"/>
    <n v="69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x v="0"/>
    <x v="0"/>
    <x v="0"/>
    <s v="VENDOR 4"/>
    <n v="40"/>
    <n v="35"/>
    <x v="0"/>
  </r>
  <r>
    <x v="0"/>
    <x v="0"/>
    <x v="1"/>
    <x v="0"/>
    <x v="0"/>
    <s v="VENDOR 2"/>
    <n v="17"/>
    <n v="14"/>
    <x v="1"/>
  </r>
  <r>
    <x v="0"/>
    <x v="0"/>
    <x v="2"/>
    <x v="1"/>
    <x v="1"/>
    <s v="VENDOR 1"/>
    <n v="30"/>
    <n v="23"/>
    <x v="0"/>
  </r>
  <r>
    <x v="0"/>
    <x v="0"/>
    <x v="0"/>
    <x v="0"/>
    <x v="0"/>
    <s v="VENDOR 3"/>
    <n v="41"/>
    <n v="35"/>
    <x v="1"/>
  </r>
  <r>
    <x v="0"/>
    <x v="0"/>
    <x v="2"/>
    <x v="1"/>
    <x v="1"/>
    <s v="VENDOR 2"/>
    <n v="38"/>
    <n v="32"/>
    <x v="0"/>
  </r>
  <r>
    <x v="0"/>
    <x v="0"/>
    <x v="1"/>
    <x v="0"/>
    <x v="0"/>
    <s v="VENDOR 2"/>
    <n v="50"/>
    <n v="48"/>
    <x v="0"/>
  </r>
  <r>
    <x v="0"/>
    <x v="0"/>
    <x v="0"/>
    <x v="0"/>
    <x v="0"/>
    <s v="VENDOR 4"/>
    <n v="80"/>
    <n v="78"/>
    <x v="2"/>
  </r>
  <r>
    <x v="0"/>
    <x v="0"/>
    <x v="3"/>
    <x v="2"/>
    <x v="2"/>
    <s v="VENDOR 3"/>
    <n v="79"/>
    <n v="70"/>
    <x v="0"/>
  </r>
  <r>
    <x v="0"/>
    <x v="0"/>
    <x v="4"/>
    <x v="2"/>
    <x v="2"/>
    <s v="VENDOR 1"/>
    <n v="51"/>
    <n v="45"/>
    <x v="3"/>
  </r>
  <r>
    <x v="0"/>
    <x v="0"/>
    <x v="0"/>
    <x v="0"/>
    <x v="0"/>
    <s v="VENDOR 1"/>
    <n v="79"/>
    <n v="74"/>
    <x v="2"/>
  </r>
  <r>
    <x v="0"/>
    <x v="0"/>
    <x v="4"/>
    <x v="2"/>
    <x v="2"/>
    <s v="VENDOR 1"/>
    <n v="32"/>
    <n v="31"/>
    <x v="2"/>
  </r>
  <r>
    <x v="0"/>
    <x v="0"/>
    <x v="5"/>
    <x v="2"/>
    <x v="2"/>
    <s v="VENDOR 3"/>
    <n v="95"/>
    <n v="93"/>
    <x v="0"/>
  </r>
  <r>
    <x v="0"/>
    <x v="1"/>
    <x v="1"/>
    <x v="0"/>
    <x v="0"/>
    <s v="VENDOR 2"/>
    <n v="90"/>
    <n v="83"/>
    <x v="1"/>
  </r>
  <r>
    <x v="0"/>
    <x v="1"/>
    <x v="4"/>
    <x v="2"/>
    <x v="2"/>
    <s v="VENDOR 1"/>
    <n v="71"/>
    <n v="67"/>
    <x v="3"/>
  </r>
  <r>
    <x v="1"/>
    <x v="1"/>
    <x v="6"/>
    <x v="1"/>
    <x v="1"/>
    <s v="VENDOR 5"/>
    <n v="91"/>
    <n v="88"/>
    <x v="4"/>
  </r>
  <r>
    <x v="1"/>
    <x v="0"/>
    <x v="3"/>
    <x v="2"/>
    <x v="2"/>
    <s v="VENDOR 2"/>
    <n v="74"/>
    <n v="69"/>
    <x v="3"/>
  </r>
  <r>
    <x v="1"/>
    <x v="0"/>
    <x v="7"/>
    <x v="0"/>
    <x v="0"/>
    <s v="VENDOR 3"/>
    <n v="51"/>
    <n v="50"/>
    <x v="4"/>
  </r>
  <r>
    <x v="1"/>
    <x v="0"/>
    <x v="2"/>
    <x v="1"/>
    <x v="1"/>
    <s v="VENDOR 3"/>
    <n v="78"/>
    <n v="69"/>
    <x v="3"/>
  </r>
  <r>
    <x v="1"/>
    <x v="0"/>
    <x v="5"/>
    <x v="2"/>
    <x v="2"/>
    <s v="VENDOR 4"/>
    <n v="94"/>
    <n v="91"/>
    <x v="3"/>
  </r>
  <r>
    <x v="1"/>
    <x v="0"/>
    <x v="4"/>
    <x v="2"/>
    <x v="2"/>
    <s v="VENDOR 1"/>
    <n v="93"/>
    <n v="86"/>
    <x v="2"/>
  </r>
  <r>
    <x v="1"/>
    <x v="0"/>
    <x v="4"/>
    <x v="2"/>
    <x v="2"/>
    <s v="VENDOR 3"/>
    <n v="48"/>
    <n v="44"/>
    <x v="3"/>
  </r>
  <r>
    <x v="1"/>
    <x v="0"/>
    <x v="8"/>
    <x v="0"/>
    <x v="0"/>
    <s v="VENDOR 3"/>
    <n v="23"/>
    <n v="13"/>
    <x v="4"/>
  </r>
  <r>
    <x v="1"/>
    <x v="0"/>
    <x v="1"/>
    <x v="0"/>
    <x v="0"/>
    <s v="VENDOR 4"/>
    <n v="34"/>
    <n v="24"/>
    <x v="1"/>
  </r>
  <r>
    <x v="1"/>
    <x v="1"/>
    <x v="9"/>
    <x v="1"/>
    <x v="1"/>
    <s v="VENDOR 4"/>
    <n v="70"/>
    <n v="60"/>
    <x v="4"/>
  </r>
  <r>
    <x v="2"/>
    <x v="0"/>
    <x v="7"/>
    <x v="0"/>
    <x v="0"/>
    <s v="VENDOR 1"/>
    <n v="60"/>
    <n v="58"/>
    <x v="3"/>
  </r>
  <r>
    <x v="2"/>
    <x v="0"/>
    <x v="5"/>
    <x v="2"/>
    <x v="2"/>
    <s v="VENDOR 4"/>
    <n v="95"/>
    <n v="89"/>
    <x v="1"/>
  </r>
  <r>
    <x v="2"/>
    <x v="0"/>
    <x v="3"/>
    <x v="2"/>
    <x v="2"/>
    <s v="VENDOR 1"/>
    <n v="61"/>
    <n v="58"/>
    <x v="1"/>
  </r>
  <r>
    <x v="2"/>
    <x v="0"/>
    <x v="3"/>
    <x v="2"/>
    <x v="2"/>
    <s v="VENDOR 5"/>
    <n v="29"/>
    <n v="27"/>
    <x v="2"/>
  </r>
  <r>
    <x v="2"/>
    <x v="0"/>
    <x v="2"/>
    <x v="1"/>
    <x v="1"/>
    <s v="VENDOR 3"/>
    <n v="52"/>
    <n v="48"/>
    <x v="1"/>
  </r>
  <r>
    <x v="2"/>
    <x v="0"/>
    <x v="6"/>
    <x v="1"/>
    <x v="1"/>
    <s v="VENDOR 1"/>
    <n v="20"/>
    <n v="10"/>
    <x v="2"/>
  </r>
  <r>
    <x v="2"/>
    <x v="0"/>
    <x v="6"/>
    <x v="1"/>
    <x v="1"/>
    <s v="VENDOR 4"/>
    <n v="60"/>
    <n v="53"/>
    <x v="4"/>
  </r>
  <r>
    <x v="2"/>
    <x v="0"/>
    <x v="7"/>
    <x v="0"/>
    <x v="0"/>
    <s v="VENDOR 4"/>
    <n v="70"/>
    <n v="66"/>
    <x v="4"/>
  </r>
  <r>
    <x v="2"/>
    <x v="0"/>
    <x v="9"/>
    <x v="1"/>
    <x v="1"/>
    <s v="VENDOR 3"/>
    <n v="38"/>
    <n v="32"/>
    <x v="0"/>
  </r>
  <r>
    <x v="2"/>
    <x v="0"/>
    <x v="4"/>
    <x v="2"/>
    <x v="2"/>
    <s v="VENDOR 1"/>
    <n v="99"/>
    <n v="89"/>
    <x v="1"/>
  </r>
  <r>
    <x v="2"/>
    <x v="0"/>
    <x v="5"/>
    <x v="2"/>
    <x v="2"/>
    <s v="VENDOR 2"/>
    <n v="28"/>
    <n v="22"/>
    <x v="4"/>
  </r>
  <r>
    <x v="2"/>
    <x v="0"/>
    <x v="7"/>
    <x v="0"/>
    <x v="0"/>
    <s v="VENDOR 2"/>
    <n v="74"/>
    <n v="68"/>
    <x v="2"/>
  </r>
  <r>
    <x v="2"/>
    <x v="1"/>
    <x v="6"/>
    <x v="1"/>
    <x v="1"/>
    <s v="VENDOR 1"/>
    <n v="17"/>
    <n v="9"/>
    <x v="4"/>
  </r>
  <r>
    <x v="2"/>
    <x v="1"/>
    <x v="2"/>
    <x v="1"/>
    <x v="1"/>
    <s v="VENDOR 1"/>
    <n v="51"/>
    <n v="41"/>
    <x v="0"/>
  </r>
  <r>
    <x v="3"/>
    <x v="0"/>
    <x v="3"/>
    <x v="2"/>
    <x v="2"/>
    <s v="VENDOR 2"/>
    <n v="99"/>
    <n v="90"/>
    <x v="4"/>
  </r>
  <r>
    <x v="3"/>
    <x v="0"/>
    <x v="7"/>
    <x v="0"/>
    <x v="0"/>
    <s v="VENDOR 5"/>
    <n v="69"/>
    <n v="64"/>
    <x v="3"/>
  </r>
  <r>
    <x v="3"/>
    <x v="0"/>
    <x v="5"/>
    <x v="2"/>
    <x v="2"/>
    <s v="VENDOR 2"/>
    <n v="66"/>
    <n v="58"/>
    <x v="0"/>
  </r>
  <r>
    <x v="3"/>
    <x v="0"/>
    <x v="7"/>
    <x v="0"/>
    <x v="0"/>
    <s v="VENDOR 2"/>
    <n v="37"/>
    <n v="35"/>
    <x v="1"/>
  </r>
  <r>
    <x v="3"/>
    <x v="0"/>
    <x v="6"/>
    <x v="1"/>
    <x v="1"/>
    <s v="VENDOR 3"/>
    <n v="29"/>
    <n v="22"/>
    <x v="2"/>
  </r>
  <r>
    <x v="3"/>
    <x v="0"/>
    <x v="5"/>
    <x v="2"/>
    <x v="2"/>
    <s v="VENDOR 3"/>
    <n v="73"/>
    <n v="68"/>
    <x v="4"/>
  </r>
  <r>
    <x v="3"/>
    <x v="0"/>
    <x v="0"/>
    <x v="0"/>
    <x v="0"/>
    <s v="VENDOR 2"/>
    <n v="55"/>
    <n v="49"/>
    <x v="4"/>
  </r>
  <r>
    <x v="3"/>
    <x v="0"/>
    <x v="0"/>
    <x v="0"/>
    <x v="0"/>
    <s v="VENDOR 5"/>
    <n v="48"/>
    <n v="38"/>
    <x v="4"/>
  </r>
  <r>
    <x v="3"/>
    <x v="0"/>
    <x v="9"/>
    <x v="1"/>
    <x v="1"/>
    <s v="VENDOR 4"/>
    <n v="41"/>
    <n v="37"/>
    <x v="4"/>
  </r>
  <r>
    <x v="3"/>
    <x v="0"/>
    <x v="9"/>
    <x v="1"/>
    <x v="1"/>
    <s v="VENDOR 2"/>
    <n v="81"/>
    <n v="74"/>
    <x v="1"/>
  </r>
  <r>
    <x v="3"/>
    <x v="0"/>
    <x v="9"/>
    <x v="1"/>
    <x v="1"/>
    <s v="VENDOR 2"/>
    <n v="10"/>
    <n v="6"/>
    <x v="4"/>
  </r>
  <r>
    <x v="3"/>
    <x v="1"/>
    <x v="6"/>
    <x v="1"/>
    <x v="1"/>
    <s v="VENDOR 5"/>
    <n v="76"/>
    <n v="69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x v="0"/>
    <x v="0"/>
    <x v="0"/>
    <x v="0"/>
    <n v="40"/>
    <n v="35"/>
    <x v="0"/>
  </r>
  <r>
    <x v="0"/>
    <x v="0"/>
    <x v="1"/>
    <x v="0"/>
    <x v="0"/>
    <x v="1"/>
    <n v="17"/>
    <n v="14"/>
    <x v="1"/>
  </r>
  <r>
    <x v="0"/>
    <x v="0"/>
    <x v="2"/>
    <x v="1"/>
    <x v="1"/>
    <x v="2"/>
    <n v="30"/>
    <n v="23"/>
    <x v="0"/>
  </r>
  <r>
    <x v="0"/>
    <x v="0"/>
    <x v="0"/>
    <x v="0"/>
    <x v="0"/>
    <x v="3"/>
    <n v="41"/>
    <n v="35"/>
    <x v="1"/>
  </r>
  <r>
    <x v="0"/>
    <x v="0"/>
    <x v="2"/>
    <x v="1"/>
    <x v="1"/>
    <x v="1"/>
    <n v="38"/>
    <n v="32"/>
    <x v="0"/>
  </r>
  <r>
    <x v="0"/>
    <x v="0"/>
    <x v="1"/>
    <x v="0"/>
    <x v="0"/>
    <x v="1"/>
    <n v="50"/>
    <n v="48"/>
    <x v="0"/>
  </r>
  <r>
    <x v="0"/>
    <x v="0"/>
    <x v="0"/>
    <x v="0"/>
    <x v="0"/>
    <x v="0"/>
    <n v="80"/>
    <n v="78"/>
    <x v="2"/>
  </r>
  <r>
    <x v="0"/>
    <x v="0"/>
    <x v="3"/>
    <x v="2"/>
    <x v="2"/>
    <x v="3"/>
    <n v="79"/>
    <n v="70"/>
    <x v="0"/>
  </r>
  <r>
    <x v="0"/>
    <x v="0"/>
    <x v="4"/>
    <x v="2"/>
    <x v="2"/>
    <x v="2"/>
    <n v="51"/>
    <n v="45"/>
    <x v="3"/>
  </r>
  <r>
    <x v="0"/>
    <x v="0"/>
    <x v="0"/>
    <x v="0"/>
    <x v="0"/>
    <x v="2"/>
    <n v="79"/>
    <n v="74"/>
    <x v="2"/>
  </r>
  <r>
    <x v="0"/>
    <x v="0"/>
    <x v="4"/>
    <x v="2"/>
    <x v="2"/>
    <x v="2"/>
    <n v="32"/>
    <n v="31"/>
    <x v="2"/>
  </r>
  <r>
    <x v="0"/>
    <x v="0"/>
    <x v="5"/>
    <x v="2"/>
    <x v="2"/>
    <x v="3"/>
    <n v="95"/>
    <n v="93"/>
    <x v="0"/>
  </r>
  <r>
    <x v="0"/>
    <x v="1"/>
    <x v="1"/>
    <x v="0"/>
    <x v="0"/>
    <x v="1"/>
    <n v="90"/>
    <n v="83"/>
    <x v="1"/>
  </r>
  <r>
    <x v="0"/>
    <x v="1"/>
    <x v="4"/>
    <x v="2"/>
    <x v="2"/>
    <x v="2"/>
    <n v="71"/>
    <n v="67"/>
    <x v="3"/>
  </r>
  <r>
    <x v="1"/>
    <x v="1"/>
    <x v="6"/>
    <x v="1"/>
    <x v="1"/>
    <x v="4"/>
    <n v="91"/>
    <n v="88"/>
    <x v="4"/>
  </r>
  <r>
    <x v="1"/>
    <x v="0"/>
    <x v="3"/>
    <x v="2"/>
    <x v="2"/>
    <x v="1"/>
    <n v="74"/>
    <n v="69"/>
    <x v="3"/>
  </r>
  <r>
    <x v="1"/>
    <x v="0"/>
    <x v="7"/>
    <x v="0"/>
    <x v="0"/>
    <x v="3"/>
    <n v="51"/>
    <n v="50"/>
    <x v="4"/>
  </r>
  <r>
    <x v="1"/>
    <x v="0"/>
    <x v="2"/>
    <x v="1"/>
    <x v="1"/>
    <x v="3"/>
    <n v="78"/>
    <n v="69"/>
    <x v="3"/>
  </r>
  <r>
    <x v="1"/>
    <x v="0"/>
    <x v="5"/>
    <x v="2"/>
    <x v="2"/>
    <x v="0"/>
    <n v="94"/>
    <n v="91"/>
    <x v="3"/>
  </r>
  <r>
    <x v="1"/>
    <x v="0"/>
    <x v="4"/>
    <x v="2"/>
    <x v="2"/>
    <x v="2"/>
    <n v="93"/>
    <n v="86"/>
    <x v="2"/>
  </r>
  <r>
    <x v="1"/>
    <x v="0"/>
    <x v="4"/>
    <x v="2"/>
    <x v="2"/>
    <x v="3"/>
    <n v="48"/>
    <n v="44"/>
    <x v="3"/>
  </r>
  <r>
    <x v="1"/>
    <x v="0"/>
    <x v="8"/>
    <x v="0"/>
    <x v="0"/>
    <x v="3"/>
    <n v="23"/>
    <n v="13"/>
    <x v="4"/>
  </r>
  <r>
    <x v="1"/>
    <x v="0"/>
    <x v="1"/>
    <x v="0"/>
    <x v="0"/>
    <x v="0"/>
    <n v="34"/>
    <n v="24"/>
    <x v="1"/>
  </r>
  <r>
    <x v="1"/>
    <x v="1"/>
    <x v="9"/>
    <x v="1"/>
    <x v="1"/>
    <x v="0"/>
    <n v="70"/>
    <n v="60"/>
    <x v="4"/>
  </r>
  <r>
    <x v="2"/>
    <x v="0"/>
    <x v="7"/>
    <x v="0"/>
    <x v="0"/>
    <x v="2"/>
    <n v="60"/>
    <n v="58"/>
    <x v="3"/>
  </r>
  <r>
    <x v="2"/>
    <x v="0"/>
    <x v="5"/>
    <x v="2"/>
    <x v="2"/>
    <x v="0"/>
    <n v="95"/>
    <n v="89"/>
    <x v="1"/>
  </r>
  <r>
    <x v="2"/>
    <x v="0"/>
    <x v="3"/>
    <x v="2"/>
    <x v="2"/>
    <x v="2"/>
    <n v="61"/>
    <n v="58"/>
    <x v="1"/>
  </r>
  <r>
    <x v="2"/>
    <x v="0"/>
    <x v="3"/>
    <x v="2"/>
    <x v="2"/>
    <x v="4"/>
    <n v="29"/>
    <n v="27"/>
    <x v="2"/>
  </r>
  <r>
    <x v="2"/>
    <x v="0"/>
    <x v="2"/>
    <x v="1"/>
    <x v="1"/>
    <x v="3"/>
    <n v="52"/>
    <n v="48"/>
    <x v="1"/>
  </r>
  <r>
    <x v="2"/>
    <x v="0"/>
    <x v="6"/>
    <x v="1"/>
    <x v="1"/>
    <x v="2"/>
    <n v="20"/>
    <n v="10"/>
    <x v="2"/>
  </r>
  <r>
    <x v="2"/>
    <x v="0"/>
    <x v="6"/>
    <x v="1"/>
    <x v="1"/>
    <x v="0"/>
    <n v="60"/>
    <n v="53"/>
    <x v="4"/>
  </r>
  <r>
    <x v="2"/>
    <x v="0"/>
    <x v="7"/>
    <x v="0"/>
    <x v="0"/>
    <x v="0"/>
    <n v="70"/>
    <n v="66"/>
    <x v="4"/>
  </r>
  <r>
    <x v="2"/>
    <x v="0"/>
    <x v="9"/>
    <x v="1"/>
    <x v="1"/>
    <x v="3"/>
    <n v="38"/>
    <n v="32"/>
    <x v="0"/>
  </r>
  <r>
    <x v="2"/>
    <x v="0"/>
    <x v="4"/>
    <x v="2"/>
    <x v="2"/>
    <x v="2"/>
    <n v="99"/>
    <n v="89"/>
    <x v="1"/>
  </r>
  <r>
    <x v="2"/>
    <x v="0"/>
    <x v="5"/>
    <x v="2"/>
    <x v="2"/>
    <x v="1"/>
    <n v="28"/>
    <n v="22"/>
    <x v="4"/>
  </r>
  <r>
    <x v="2"/>
    <x v="0"/>
    <x v="7"/>
    <x v="0"/>
    <x v="0"/>
    <x v="1"/>
    <n v="74"/>
    <n v="68"/>
    <x v="2"/>
  </r>
  <r>
    <x v="2"/>
    <x v="1"/>
    <x v="6"/>
    <x v="1"/>
    <x v="1"/>
    <x v="2"/>
    <n v="17"/>
    <n v="9"/>
    <x v="4"/>
  </r>
  <r>
    <x v="2"/>
    <x v="1"/>
    <x v="2"/>
    <x v="1"/>
    <x v="1"/>
    <x v="2"/>
    <n v="51"/>
    <n v="41"/>
    <x v="0"/>
  </r>
  <r>
    <x v="3"/>
    <x v="0"/>
    <x v="3"/>
    <x v="2"/>
    <x v="2"/>
    <x v="1"/>
    <n v="99"/>
    <n v="90"/>
    <x v="4"/>
  </r>
  <r>
    <x v="3"/>
    <x v="0"/>
    <x v="7"/>
    <x v="0"/>
    <x v="0"/>
    <x v="4"/>
    <n v="69"/>
    <n v="64"/>
    <x v="3"/>
  </r>
  <r>
    <x v="3"/>
    <x v="0"/>
    <x v="5"/>
    <x v="2"/>
    <x v="2"/>
    <x v="1"/>
    <n v="66"/>
    <n v="58"/>
    <x v="0"/>
  </r>
  <r>
    <x v="3"/>
    <x v="0"/>
    <x v="7"/>
    <x v="0"/>
    <x v="0"/>
    <x v="1"/>
    <n v="37"/>
    <n v="35"/>
    <x v="1"/>
  </r>
  <r>
    <x v="3"/>
    <x v="0"/>
    <x v="6"/>
    <x v="1"/>
    <x v="1"/>
    <x v="3"/>
    <n v="29"/>
    <n v="22"/>
    <x v="2"/>
  </r>
  <r>
    <x v="3"/>
    <x v="0"/>
    <x v="5"/>
    <x v="2"/>
    <x v="2"/>
    <x v="3"/>
    <n v="73"/>
    <n v="68"/>
    <x v="4"/>
  </r>
  <r>
    <x v="3"/>
    <x v="0"/>
    <x v="0"/>
    <x v="0"/>
    <x v="0"/>
    <x v="1"/>
    <n v="55"/>
    <n v="49"/>
    <x v="4"/>
  </r>
  <r>
    <x v="3"/>
    <x v="0"/>
    <x v="0"/>
    <x v="0"/>
    <x v="0"/>
    <x v="4"/>
    <n v="48"/>
    <n v="38"/>
    <x v="4"/>
  </r>
  <r>
    <x v="3"/>
    <x v="0"/>
    <x v="9"/>
    <x v="1"/>
    <x v="1"/>
    <x v="0"/>
    <n v="41"/>
    <n v="37"/>
    <x v="4"/>
  </r>
  <r>
    <x v="3"/>
    <x v="0"/>
    <x v="9"/>
    <x v="1"/>
    <x v="1"/>
    <x v="1"/>
    <n v="81"/>
    <n v="74"/>
    <x v="1"/>
  </r>
  <r>
    <x v="3"/>
    <x v="0"/>
    <x v="9"/>
    <x v="1"/>
    <x v="1"/>
    <x v="1"/>
    <n v="10"/>
    <n v="6"/>
    <x v="4"/>
  </r>
  <r>
    <x v="3"/>
    <x v="1"/>
    <x v="6"/>
    <x v="1"/>
    <x v="1"/>
    <x v="4"/>
    <n v="76"/>
    <n v="6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7FE3F9-E572-433C-B172-0FB66C35C56C}" name="BuyerPivotTable" cacheId="33" applyNumberFormats="0" applyBorderFormats="0" applyFontFormats="0" applyPatternFormats="0" applyAlignmentFormats="0" applyWidthHeightFormats="1" dataCaption=" " missingCaption="0" updatedVersion="8" minRefreshableVersion="3" showCalcMbrs="0" useAutoFormatting="1" itemPrintTitles="1" createdVersion="3" indent="0" outline="1" outlineData="1" multipleFieldFilters="0" rowHeaderCaption="Category Mgr &gt; Commodity &gt; Item">
  <location ref="A6:E11" firstHeaderRow="1" firstDataRow="2" firstDataCol="1" rowPageCount="4" colPageCount="1"/>
  <pivotFields count="11"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 sortType="ascending">
      <items count="11">
        <item x="9"/>
        <item x="4"/>
        <item x="2"/>
        <item x="6"/>
        <item x="1"/>
        <item x="0"/>
        <item x="8"/>
        <item x="7"/>
        <item x="5"/>
        <item x="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ascending">
      <items count="4">
        <item sd="0" x="1"/>
        <item sd="0" x="0"/>
        <item sd="0" x="2"/>
        <item t="default" sd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ascending">
      <items count="4">
        <item sd="0" x="1"/>
        <item sd="0" x="0"/>
        <item sd="0" x="2"/>
        <item t="default" sd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showAll="0">
      <items count="6">
        <item x="2"/>
        <item x="1"/>
        <item x="3"/>
        <item x="0"/>
        <item x="4"/>
        <item t="default"/>
      </items>
    </pivotField>
    <pivotField dataField="1" numFmtId="8" showAll="0"/>
    <pivotField dataField="1" numFmtId="8" showAll="0"/>
    <pivotField axis="axisPage" showAll="0">
      <items count="6">
        <item x="0"/>
        <item x="3"/>
        <item x="2"/>
        <item x="4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3">
    <field x="4"/>
    <field x="3"/>
    <field x="2"/>
  </rowFields>
  <rowItems count="4">
    <i>
      <x v="1"/>
    </i>
    <i>
      <x v="2"/>
    </i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4">
    <pageField fld="8" hier="-1"/>
    <pageField fld="1" hier="-1"/>
    <pageField fld="0" hier="-1"/>
    <pageField fld="5" hier="-1"/>
  </pageFields>
  <dataFields count="4">
    <dataField name="Net Sales " fld="6" baseField="0" baseItem="0" numFmtId="164"/>
    <dataField name="Actual Cost-Drayage " fld="7" baseField="0" baseItem="0" numFmtId="164"/>
    <dataField name=" Margin " fld="9" baseField="0" baseItem="0" numFmtId="164"/>
    <dataField name=" Margin % " fld="10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3778CF-33E2-403E-A9D7-786B48529DE2}" name="ProductPivotTable" cacheId="22" applyNumberFormats="0" applyBorderFormats="0" applyFontFormats="0" applyPatternFormats="0" applyAlignmentFormats="0" applyWidthHeightFormats="1" dataCaption=" " missingCaption="0" updatedVersion="8" minRefreshableVersion="3" showCalcMbrs="0" useAutoFormatting="1" itemPrintTitles="1" createdVersion="3" indent="0" outline="1" outlineData="1" multipleFieldFilters="0" rowHeaderCaption="Item">
  <location ref="A7:E19" firstHeaderRow="1" firstDataRow="2" firstDataCol="1" rowPageCount="5" colPageCount="1"/>
  <pivotFields count="11"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3">
        <item x="1"/>
        <item x="0"/>
        <item t="default"/>
      </items>
    </pivotField>
    <pivotField axis="axisRow" showAll="0" sortType="ascending">
      <items count="11">
        <item x="9"/>
        <item x="4"/>
        <item x="2"/>
        <item x="6"/>
        <item x="1"/>
        <item x="0"/>
        <item x="8"/>
        <item x="7"/>
        <item x="5"/>
        <item x="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showAll="0">
      <items count="4">
        <item x="1"/>
        <item x="0"/>
        <item x="2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  <pivotField dataField="1" numFmtId="8" showAll="0"/>
    <pivotField dataField="1" numFmtId="8" showAll="0"/>
    <pivotField axis="axisPage" showAll="0">
      <items count="6">
        <item x="0"/>
        <item x="3"/>
        <item x="2"/>
        <item x="4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1">
    <i>
      <x v="6"/>
    </i>
    <i>
      <x v="7"/>
    </i>
    <i>
      <x v="4"/>
    </i>
    <i>
      <x v="9"/>
    </i>
    <i>
      <x v="8"/>
    </i>
    <i>
      <x/>
    </i>
    <i>
      <x v="1"/>
    </i>
    <i>
      <x v="5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5">
    <pageField fld="4" hier="-1"/>
    <pageField fld="8" hier="-1"/>
    <pageField fld="3" hier="-1"/>
    <pageField fld="0" hier="-1"/>
    <pageField fld="1" hier="-1"/>
  </pageFields>
  <dataFields count="4">
    <dataField name="Net Sales " fld="6" baseField="0" baseItem="0" numFmtId="164"/>
    <dataField name="Actual Cost-Drayage " fld="7" baseField="0" baseItem="0" numFmtId="164"/>
    <dataField name=" Margin" fld="9" baseField="0" baseItem="0" numFmtId="164"/>
    <dataField name=" Margin %" fld="10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44167-33FC-4028-9218-AF32ABE9B9AA}" name="VendorPivotTable" cacheId="12" applyNumberFormats="0" applyBorderFormats="0" applyFontFormats="0" applyPatternFormats="0" applyAlignmentFormats="0" applyWidthHeightFormats="1" dataCaption=" " missingCaption="0" updatedVersion="8" minRefreshableVersion="3" showCalcMbrs="0" useAutoFormatting="1" itemPrintTitles="1" createdVersion="3" indent="0" outline="1" outlineData="1" multipleFieldFilters="0" rowHeaderCaption="Vendor">
  <location ref="A7:E14" firstHeaderRow="1" firstDataRow="2" firstDataCol="1" rowPageCount="5" colPageCount="1"/>
  <pivotFields count="11"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axis="axisPage" showAll="0">
      <items count="4">
        <item x="1"/>
        <item x="0"/>
        <item x="2"/>
        <item t="default"/>
      </items>
    </pivotField>
    <pivotField axis="axisPage" showAll="0">
      <items count="4">
        <item x="1"/>
        <item x="0"/>
        <item x="2"/>
        <item t="default"/>
      </items>
    </pivotField>
    <pivotField axis="axisRow" showAll="0" sortType="descending">
      <items count="6">
        <item x="2"/>
        <item x="1"/>
        <item x="3"/>
        <item x="0"/>
        <item x="4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numFmtId="8" showAll="0"/>
    <pivotField dataField="1" numFmtId="8" showAll="0"/>
    <pivotField axis="axisPage" showAll="0">
      <items count="6">
        <item x="0"/>
        <item x="3"/>
        <item x="2"/>
        <item x="4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5">
    <pageField fld="4" hier="-1"/>
    <pageField fld="8" hier="-1"/>
    <pageField fld="3" hier="-1"/>
    <pageField fld="0" hier="-1"/>
    <pageField fld="1" hier="-1"/>
  </pageFields>
  <dataFields count="4">
    <dataField name="Sum of Net Sales" fld="6" baseField="0" baseItem="0" numFmtId="164"/>
    <dataField name="Sum of Actual Cost-Drayage" fld="7" baseField="0" baseItem="0" numFmtId="164"/>
    <dataField name="Sum of Margin" fld="9" baseField="0" baseItem="0" numFmtId="164"/>
    <dataField name="Sum of Margin %" fld="10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4E0DE-7397-422B-BA0A-222CFD067DBF}">
  <dimension ref="A1:A3"/>
  <sheetViews>
    <sheetView tabSelected="1" workbookViewId="0"/>
  </sheetViews>
  <sheetFormatPr defaultRowHeight="14.4" x14ac:dyDescent="0.3"/>
  <sheetData>
    <row r="1" spans="1:1" ht="25.8" x14ac:dyDescent="0.5">
      <c r="A1" s="11" t="s">
        <v>56</v>
      </c>
    </row>
    <row r="2" spans="1:1" ht="25.8" x14ac:dyDescent="0.5">
      <c r="A2" s="11" t="s">
        <v>57</v>
      </c>
    </row>
    <row r="3" spans="1:1" ht="25.8" x14ac:dyDescent="0.5">
      <c r="A3" s="11" t="s">
        <v>58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B985-94D6-4BA1-9D28-379222386BF8}">
  <dimension ref="A1:E11"/>
  <sheetViews>
    <sheetView workbookViewId="0">
      <pane ySplit="7" topLeftCell="A8" activePane="bottomLeft" state="frozen"/>
      <selection pane="bottomLeft" activeCell="B20" sqref="B20"/>
    </sheetView>
  </sheetViews>
  <sheetFormatPr defaultRowHeight="14.4" x14ac:dyDescent="0.3"/>
  <cols>
    <col min="1" max="1" width="32.77734375" bestFit="1" customWidth="1"/>
    <col min="2" max="2" width="9.109375" bestFit="1" customWidth="1"/>
    <col min="3" max="3" width="18.6640625" bestFit="1" customWidth="1"/>
    <col min="4" max="4" width="7.88671875" bestFit="1" customWidth="1"/>
    <col min="5" max="5" width="9.77734375" bestFit="1" customWidth="1"/>
  </cols>
  <sheetData>
    <row r="1" spans="1:5" x14ac:dyDescent="0.3">
      <c r="A1" s="7" t="s">
        <v>8</v>
      </c>
      <c r="B1" t="s">
        <v>14</v>
      </c>
    </row>
    <row r="2" spans="1:5" x14ac:dyDescent="0.3">
      <c r="A2" s="7" t="s">
        <v>1</v>
      </c>
      <c r="B2" t="s">
        <v>14</v>
      </c>
    </row>
    <row r="3" spans="1:5" x14ac:dyDescent="0.3">
      <c r="A3" s="7" t="s">
        <v>0</v>
      </c>
      <c r="B3" t="s">
        <v>14</v>
      </c>
    </row>
    <row r="4" spans="1:5" x14ac:dyDescent="0.3">
      <c r="A4" s="7" t="s">
        <v>5</v>
      </c>
      <c r="B4" t="s">
        <v>14</v>
      </c>
    </row>
    <row r="6" spans="1:5" x14ac:dyDescent="0.3">
      <c r="B6" s="7" t="s">
        <v>17</v>
      </c>
    </row>
    <row r="7" spans="1:5" x14ac:dyDescent="0.3">
      <c r="A7" s="7" t="s">
        <v>23</v>
      </c>
      <c r="B7" t="s">
        <v>18</v>
      </c>
      <c r="C7" t="s">
        <v>19</v>
      </c>
      <c r="D7" t="s">
        <v>24</v>
      </c>
      <c r="E7" t="s">
        <v>25</v>
      </c>
    </row>
    <row r="8" spans="1:5" x14ac:dyDescent="0.3">
      <c r="A8" s="8" t="s">
        <v>38</v>
      </c>
      <c r="B8" s="10">
        <v>918</v>
      </c>
      <c r="C8" s="10">
        <v>832</v>
      </c>
      <c r="D8" s="10">
        <v>86</v>
      </c>
      <c r="E8" s="9">
        <v>9.3681917211328972E-2</v>
      </c>
    </row>
    <row r="9" spans="1:5" x14ac:dyDescent="0.3">
      <c r="A9" s="8" t="s">
        <v>33</v>
      </c>
      <c r="B9" s="10">
        <v>1187</v>
      </c>
      <c r="C9" s="10">
        <v>1097</v>
      </c>
      <c r="D9" s="10">
        <v>90</v>
      </c>
      <c r="E9" s="9">
        <v>7.5821398483572028E-2</v>
      </c>
    </row>
    <row r="10" spans="1:5" x14ac:dyDescent="0.3">
      <c r="A10" s="8" t="s">
        <v>48</v>
      </c>
      <c r="B10" s="10">
        <v>782</v>
      </c>
      <c r="C10" s="10">
        <v>673</v>
      </c>
      <c r="D10" s="10">
        <v>109</v>
      </c>
      <c r="E10" s="9">
        <v>0.13938618925831203</v>
      </c>
    </row>
    <row r="11" spans="1:5" x14ac:dyDescent="0.3">
      <c r="A11" s="8" t="s">
        <v>11</v>
      </c>
      <c r="B11" s="10">
        <v>2887</v>
      </c>
      <c r="C11" s="10">
        <v>2602</v>
      </c>
      <c r="D11" s="10">
        <v>285</v>
      </c>
      <c r="E11" s="9">
        <v>9.8718392795289225E-2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D13E9-7E50-46CE-B1F0-EE4F55537AAD}">
  <dimension ref="A1:E19"/>
  <sheetViews>
    <sheetView workbookViewId="0">
      <pane ySplit="8" topLeftCell="A9" activePane="bottomLeft" state="frozen"/>
      <selection pane="bottomLeft" activeCell="A9" sqref="A9"/>
    </sheetView>
  </sheetViews>
  <sheetFormatPr defaultRowHeight="14.4" x14ac:dyDescent="0.3"/>
  <cols>
    <col min="1" max="1" width="16.6640625" bestFit="1" customWidth="1"/>
    <col min="2" max="2" width="9.109375" bestFit="1" customWidth="1"/>
    <col min="3" max="3" width="18.6640625" bestFit="1" customWidth="1"/>
    <col min="4" max="4" width="7.44140625" bestFit="1" customWidth="1"/>
    <col min="5" max="5" width="9.33203125" bestFit="1" customWidth="1"/>
  </cols>
  <sheetData>
    <row r="1" spans="1:5" x14ac:dyDescent="0.3">
      <c r="A1" s="7" t="s">
        <v>4</v>
      </c>
      <c r="B1" t="s">
        <v>14</v>
      </c>
    </row>
    <row r="2" spans="1:5" x14ac:dyDescent="0.3">
      <c r="A2" s="7" t="s">
        <v>8</v>
      </c>
      <c r="B2" t="s">
        <v>14</v>
      </c>
    </row>
    <row r="3" spans="1:5" x14ac:dyDescent="0.3">
      <c r="A3" s="7" t="s">
        <v>3</v>
      </c>
      <c r="B3" t="s">
        <v>14</v>
      </c>
    </row>
    <row r="4" spans="1:5" x14ac:dyDescent="0.3">
      <c r="A4" s="7" t="s">
        <v>0</v>
      </c>
      <c r="B4" t="s">
        <v>14</v>
      </c>
    </row>
    <row r="5" spans="1:5" x14ac:dyDescent="0.3">
      <c r="A5" s="7" t="s">
        <v>1</v>
      </c>
      <c r="B5" t="s">
        <v>14</v>
      </c>
    </row>
    <row r="7" spans="1:5" x14ac:dyDescent="0.3">
      <c r="B7" s="7" t="s">
        <v>17</v>
      </c>
    </row>
    <row r="8" spans="1:5" x14ac:dyDescent="0.3">
      <c r="A8" s="7" t="s">
        <v>20</v>
      </c>
      <c r="B8" t="s">
        <v>18</v>
      </c>
      <c r="C8" t="s">
        <v>19</v>
      </c>
      <c r="D8" t="s">
        <v>21</v>
      </c>
      <c r="E8" t="s">
        <v>22</v>
      </c>
    </row>
    <row r="9" spans="1:5" x14ac:dyDescent="0.3">
      <c r="A9" s="8" t="s">
        <v>41</v>
      </c>
      <c r="B9" s="10">
        <v>23</v>
      </c>
      <c r="C9" s="10">
        <v>13</v>
      </c>
      <c r="D9" s="10">
        <v>10</v>
      </c>
      <c r="E9" s="9">
        <v>0.43478260869565216</v>
      </c>
    </row>
    <row r="10" spans="1:5" x14ac:dyDescent="0.3">
      <c r="A10" s="8" t="s">
        <v>54</v>
      </c>
      <c r="B10" s="10">
        <v>361</v>
      </c>
      <c r="C10" s="10">
        <v>341</v>
      </c>
      <c r="D10" s="10">
        <v>20</v>
      </c>
      <c r="E10" s="9">
        <v>5.5401662049861494E-2</v>
      </c>
    </row>
    <row r="11" spans="1:5" x14ac:dyDescent="0.3">
      <c r="A11" s="8" t="s">
        <v>55</v>
      </c>
      <c r="B11" s="10">
        <v>191</v>
      </c>
      <c r="C11" s="10">
        <v>169</v>
      </c>
      <c r="D11" s="10">
        <v>22</v>
      </c>
      <c r="E11" s="9">
        <v>0.11518324607329843</v>
      </c>
    </row>
    <row r="12" spans="1:5" x14ac:dyDescent="0.3">
      <c r="A12" s="8" t="s">
        <v>31</v>
      </c>
      <c r="B12" s="10">
        <v>342</v>
      </c>
      <c r="C12" s="10">
        <v>314</v>
      </c>
      <c r="D12" s="10">
        <v>28</v>
      </c>
      <c r="E12" s="9">
        <v>8.1871345029239762E-2</v>
      </c>
    </row>
    <row r="13" spans="1:5" x14ac:dyDescent="0.3">
      <c r="A13" s="8" t="s">
        <v>44</v>
      </c>
      <c r="B13" s="10">
        <v>451</v>
      </c>
      <c r="C13" s="10">
        <v>421</v>
      </c>
      <c r="D13" s="10">
        <v>30</v>
      </c>
      <c r="E13" s="9">
        <v>6.6518847006651879E-2</v>
      </c>
    </row>
    <row r="14" spans="1:5" x14ac:dyDescent="0.3">
      <c r="A14" s="8" t="s">
        <v>30</v>
      </c>
      <c r="B14" s="10">
        <v>240</v>
      </c>
      <c r="C14" s="10">
        <v>209</v>
      </c>
      <c r="D14" s="10">
        <v>31</v>
      </c>
      <c r="E14" s="9">
        <v>0.12916666666666668</v>
      </c>
    </row>
    <row r="15" spans="1:5" x14ac:dyDescent="0.3">
      <c r="A15" s="8" t="s">
        <v>42</v>
      </c>
      <c r="B15" s="10">
        <v>394</v>
      </c>
      <c r="C15" s="10">
        <v>362</v>
      </c>
      <c r="D15" s="10">
        <v>32</v>
      </c>
      <c r="E15" s="9">
        <v>8.1218274111675121E-2</v>
      </c>
    </row>
    <row r="16" spans="1:5" x14ac:dyDescent="0.3">
      <c r="A16" s="8" t="s">
        <v>36</v>
      </c>
      <c r="B16" s="10">
        <v>343</v>
      </c>
      <c r="C16" s="10">
        <v>309</v>
      </c>
      <c r="D16" s="10">
        <v>34</v>
      </c>
      <c r="E16" s="9">
        <v>9.9125364431486881E-2</v>
      </c>
    </row>
    <row r="17" spans="1:5" x14ac:dyDescent="0.3">
      <c r="A17" s="8" t="s">
        <v>46</v>
      </c>
      <c r="B17" s="10">
        <v>249</v>
      </c>
      <c r="C17" s="10">
        <v>213</v>
      </c>
      <c r="D17" s="10">
        <v>36</v>
      </c>
      <c r="E17" s="9">
        <v>0.14457831325301204</v>
      </c>
    </row>
    <row r="18" spans="1:5" x14ac:dyDescent="0.3">
      <c r="A18" s="8" t="s">
        <v>52</v>
      </c>
      <c r="B18" s="10">
        <v>293</v>
      </c>
      <c r="C18" s="10">
        <v>251</v>
      </c>
      <c r="D18" s="10">
        <v>42</v>
      </c>
      <c r="E18" s="9">
        <v>0.14334470989761092</v>
      </c>
    </row>
    <row r="19" spans="1:5" x14ac:dyDescent="0.3">
      <c r="A19" s="8" t="s">
        <v>11</v>
      </c>
      <c r="B19" s="10">
        <v>2887</v>
      </c>
      <c r="C19" s="10">
        <v>2602</v>
      </c>
      <c r="D19" s="10">
        <v>285</v>
      </c>
      <c r="E19" s="9">
        <v>9.8718392795289225E-2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2417-1057-4EEB-93F6-C79B3C6B905D}">
  <dimension ref="A1:E14"/>
  <sheetViews>
    <sheetView workbookViewId="0">
      <pane ySplit="8" topLeftCell="A9" activePane="bottomLeft" state="frozen"/>
      <selection pane="bottomLeft" activeCell="A9" sqref="A9"/>
    </sheetView>
  </sheetViews>
  <sheetFormatPr defaultRowHeight="14.4" x14ac:dyDescent="0.3"/>
  <cols>
    <col min="1" max="1" width="16.6640625" bestFit="1" customWidth="1"/>
    <col min="2" max="2" width="15.21875" bestFit="1" customWidth="1"/>
    <col min="3" max="3" width="24.77734375" bestFit="1" customWidth="1"/>
    <col min="4" max="4" width="13.5546875" bestFit="1" customWidth="1"/>
    <col min="5" max="5" width="15.44140625" bestFit="1" customWidth="1"/>
  </cols>
  <sheetData>
    <row r="1" spans="1:5" x14ac:dyDescent="0.3">
      <c r="A1" s="7" t="s">
        <v>4</v>
      </c>
      <c r="B1" t="s">
        <v>14</v>
      </c>
    </row>
    <row r="2" spans="1:5" x14ac:dyDescent="0.3">
      <c r="A2" s="7" t="s">
        <v>8</v>
      </c>
      <c r="B2" t="s">
        <v>14</v>
      </c>
    </row>
    <row r="3" spans="1:5" x14ac:dyDescent="0.3">
      <c r="A3" s="7" t="s">
        <v>3</v>
      </c>
      <c r="B3" t="s">
        <v>14</v>
      </c>
    </row>
    <row r="4" spans="1:5" x14ac:dyDescent="0.3">
      <c r="A4" s="7" t="s">
        <v>0</v>
      </c>
      <c r="B4" t="s">
        <v>14</v>
      </c>
    </row>
    <row r="5" spans="1:5" x14ac:dyDescent="0.3">
      <c r="A5" s="7" t="s">
        <v>1</v>
      </c>
      <c r="B5" t="s">
        <v>14</v>
      </c>
    </row>
    <row r="7" spans="1:5" x14ac:dyDescent="0.3">
      <c r="B7" s="7" t="s">
        <v>17</v>
      </c>
    </row>
    <row r="8" spans="1:5" x14ac:dyDescent="0.3">
      <c r="A8" s="7" t="s">
        <v>5</v>
      </c>
      <c r="B8" t="s">
        <v>12</v>
      </c>
      <c r="C8" t="s">
        <v>13</v>
      </c>
      <c r="D8" t="s">
        <v>15</v>
      </c>
      <c r="E8" t="s">
        <v>16</v>
      </c>
    </row>
    <row r="9" spans="1:5" x14ac:dyDescent="0.3">
      <c r="A9" s="8" t="s">
        <v>39</v>
      </c>
      <c r="B9" s="10">
        <v>664</v>
      </c>
      <c r="C9" s="10">
        <v>591</v>
      </c>
      <c r="D9" s="10">
        <v>73</v>
      </c>
      <c r="E9" s="9">
        <v>0.10993975903614457</v>
      </c>
    </row>
    <row r="10" spans="1:5" x14ac:dyDescent="0.3">
      <c r="A10" s="8" t="s">
        <v>34</v>
      </c>
      <c r="B10" s="10">
        <v>719</v>
      </c>
      <c r="C10" s="10">
        <v>648</v>
      </c>
      <c r="D10" s="10">
        <v>71</v>
      </c>
      <c r="E10" s="9">
        <v>9.8748261474269822E-2</v>
      </c>
    </row>
    <row r="11" spans="1:5" x14ac:dyDescent="0.3">
      <c r="A11" s="8" t="s">
        <v>45</v>
      </c>
      <c r="B11" s="10">
        <v>607</v>
      </c>
      <c r="C11" s="10">
        <v>544</v>
      </c>
      <c r="D11" s="10">
        <v>63</v>
      </c>
      <c r="E11" s="9">
        <v>0.10378912685337727</v>
      </c>
    </row>
    <row r="12" spans="1:5" x14ac:dyDescent="0.3">
      <c r="A12" s="8" t="s">
        <v>43</v>
      </c>
      <c r="B12" s="10">
        <v>584</v>
      </c>
      <c r="C12" s="10">
        <v>533</v>
      </c>
      <c r="D12" s="10">
        <v>51</v>
      </c>
      <c r="E12" s="9">
        <v>8.7328767123287673E-2</v>
      </c>
    </row>
    <row r="13" spans="1:5" x14ac:dyDescent="0.3">
      <c r="A13" s="8" t="s">
        <v>50</v>
      </c>
      <c r="B13" s="10">
        <v>313</v>
      </c>
      <c r="C13" s="10">
        <v>286</v>
      </c>
      <c r="D13" s="10">
        <v>27</v>
      </c>
      <c r="E13" s="9">
        <v>8.6261980830670923E-2</v>
      </c>
    </row>
    <row r="14" spans="1:5" x14ac:dyDescent="0.3">
      <c r="A14" s="8" t="s">
        <v>11</v>
      </c>
      <c r="B14" s="10">
        <v>2887</v>
      </c>
      <c r="C14" s="10">
        <v>2602</v>
      </c>
      <c r="D14" s="10">
        <v>285</v>
      </c>
      <c r="E14" s="9">
        <v>9.8718392795289225E-2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128CA-052C-4864-82A9-3746FADD0CED}">
  <sheetPr codeName="Sheet2"/>
  <dimension ref="A1:J51"/>
  <sheetViews>
    <sheetView workbookViewId="0">
      <selection activeCell="D8" sqref="D8"/>
    </sheetView>
  </sheetViews>
  <sheetFormatPr defaultRowHeight="14.4" x14ac:dyDescent="0.3"/>
  <cols>
    <col min="1" max="1" width="26.33203125" bestFit="1" customWidth="1"/>
    <col min="2" max="2" width="8.6640625" bestFit="1" customWidth="1"/>
    <col min="3" max="3" width="54" bestFit="1" customWidth="1"/>
    <col min="4" max="4" width="16.5546875" bestFit="1" customWidth="1"/>
    <col min="5" max="5" width="22.44140625" bestFit="1" customWidth="1"/>
    <col min="6" max="6" width="36.6640625" bestFit="1" customWidth="1"/>
    <col min="7" max="8" width="13.33203125" bestFit="1" customWidth="1"/>
    <col min="9" max="9" width="31" bestFit="1" customWidth="1"/>
  </cols>
  <sheetData>
    <row r="1" spans="1:10" ht="43.8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3"/>
    </row>
    <row r="2" spans="1:10" ht="15" thickBot="1" x14ac:dyDescent="0.35">
      <c r="A2" s="4" t="s">
        <v>26</v>
      </c>
      <c r="B2" s="4" t="s">
        <v>10</v>
      </c>
      <c r="C2" s="5" t="s">
        <v>36</v>
      </c>
      <c r="D2" s="4" t="s">
        <v>37</v>
      </c>
      <c r="E2" s="4" t="s">
        <v>38</v>
      </c>
      <c r="F2" s="4" t="s">
        <v>43</v>
      </c>
      <c r="G2" s="6">
        <v>40</v>
      </c>
      <c r="H2" s="6">
        <v>35</v>
      </c>
      <c r="I2" s="4" t="s">
        <v>51</v>
      </c>
      <c r="J2" s="2"/>
    </row>
    <row r="3" spans="1:10" ht="15" thickBot="1" x14ac:dyDescent="0.35">
      <c r="A3" s="4" t="s">
        <v>26</v>
      </c>
      <c r="B3" s="4" t="s">
        <v>10</v>
      </c>
      <c r="C3" s="5" t="s">
        <v>55</v>
      </c>
      <c r="D3" s="4" t="s">
        <v>37</v>
      </c>
      <c r="E3" s="4" t="s">
        <v>38</v>
      </c>
      <c r="F3" s="4" t="s">
        <v>34</v>
      </c>
      <c r="G3" s="6">
        <v>17</v>
      </c>
      <c r="H3" s="6">
        <v>14</v>
      </c>
      <c r="I3" s="4" t="s">
        <v>53</v>
      </c>
      <c r="J3" s="2"/>
    </row>
    <row r="4" spans="1:10" ht="15" thickBot="1" x14ac:dyDescent="0.35">
      <c r="A4" s="4" t="s">
        <v>26</v>
      </c>
      <c r="B4" s="4" t="s">
        <v>10</v>
      </c>
      <c r="C4" s="5" t="s">
        <v>46</v>
      </c>
      <c r="D4" s="4" t="s">
        <v>47</v>
      </c>
      <c r="E4" s="4" t="s">
        <v>48</v>
      </c>
      <c r="F4" s="4" t="s">
        <v>39</v>
      </c>
      <c r="G4" s="6">
        <v>30</v>
      </c>
      <c r="H4" s="6">
        <v>23</v>
      </c>
      <c r="I4" s="4" t="s">
        <v>51</v>
      </c>
      <c r="J4" s="2"/>
    </row>
    <row r="5" spans="1:10" ht="15" thickBot="1" x14ac:dyDescent="0.35">
      <c r="A5" s="4" t="s">
        <v>26</v>
      </c>
      <c r="B5" s="4" t="s">
        <v>10</v>
      </c>
      <c r="C5" s="5" t="s">
        <v>36</v>
      </c>
      <c r="D5" s="4" t="s">
        <v>37</v>
      </c>
      <c r="E5" s="4" t="s">
        <v>38</v>
      </c>
      <c r="F5" s="4" t="s">
        <v>45</v>
      </c>
      <c r="G5" s="6">
        <v>41</v>
      </c>
      <c r="H5" s="6">
        <v>35</v>
      </c>
      <c r="I5" s="4" t="s">
        <v>53</v>
      </c>
      <c r="J5" s="2"/>
    </row>
    <row r="6" spans="1:10" ht="15" thickBot="1" x14ac:dyDescent="0.35">
      <c r="A6" s="4" t="s">
        <v>26</v>
      </c>
      <c r="B6" s="4" t="s">
        <v>10</v>
      </c>
      <c r="C6" s="5" t="s">
        <v>46</v>
      </c>
      <c r="D6" s="4" t="s">
        <v>47</v>
      </c>
      <c r="E6" s="4" t="s">
        <v>48</v>
      </c>
      <c r="F6" s="4" t="s">
        <v>34</v>
      </c>
      <c r="G6" s="6">
        <v>38</v>
      </c>
      <c r="H6" s="6">
        <v>32</v>
      </c>
      <c r="I6" s="4" t="s">
        <v>51</v>
      </c>
      <c r="J6" s="2"/>
    </row>
    <row r="7" spans="1:10" ht="15" thickBot="1" x14ac:dyDescent="0.35">
      <c r="A7" s="4" t="s">
        <v>26</v>
      </c>
      <c r="B7" s="4" t="s">
        <v>10</v>
      </c>
      <c r="C7" s="5" t="s">
        <v>55</v>
      </c>
      <c r="D7" s="4" t="s">
        <v>37</v>
      </c>
      <c r="E7" s="4" t="s">
        <v>38</v>
      </c>
      <c r="F7" s="4" t="s">
        <v>34</v>
      </c>
      <c r="G7" s="6">
        <v>50</v>
      </c>
      <c r="H7" s="6">
        <v>48</v>
      </c>
      <c r="I7" s="4" t="s">
        <v>51</v>
      </c>
      <c r="J7" s="2"/>
    </row>
    <row r="8" spans="1:10" ht="15" thickBot="1" x14ac:dyDescent="0.35">
      <c r="A8" s="4" t="s">
        <v>26</v>
      </c>
      <c r="B8" s="4" t="s">
        <v>10</v>
      </c>
      <c r="C8" s="5" t="s">
        <v>36</v>
      </c>
      <c r="D8" s="4" t="s">
        <v>37</v>
      </c>
      <c r="E8" s="4" t="s">
        <v>38</v>
      </c>
      <c r="F8" s="4" t="s">
        <v>43</v>
      </c>
      <c r="G8" s="6">
        <v>80</v>
      </c>
      <c r="H8" s="6">
        <v>78</v>
      </c>
      <c r="I8" s="4" t="s">
        <v>49</v>
      </c>
      <c r="J8" s="2"/>
    </row>
    <row r="9" spans="1:10" ht="15" thickBot="1" x14ac:dyDescent="0.35">
      <c r="A9" s="4" t="s">
        <v>26</v>
      </c>
      <c r="B9" s="4" t="s">
        <v>10</v>
      </c>
      <c r="C9" s="5" t="s">
        <v>31</v>
      </c>
      <c r="D9" s="4" t="s">
        <v>32</v>
      </c>
      <c r="E9" s="4" t="s">
        <v>33</v>
      </c>
      <c r="F9" s="4" t="s">
        <v>45</v>
      </c>
      <c r="G9" s="6">
        <v>79</v>
      </c>
      <c r="H9" s="6">
        <v>70</v>
      </c>
      <c r="I9" s="4" t="s">
        <v>51</v>
      </c>
      <c r="J9" s="2"/>
    </row>
    <row r="10" spans="1:10" ht="15" thickBot="1" x14ac:dyDescent="0.35">
      <c r="A10" s="4" t="s">
        <v>26</v>
      </c>
      <c r="B10" s="4" t="s">
        <v>10</v>
      </c>
      <c r="C10" s="5" t="s">
        <v>42</v>
      </c>
      <c r="D10" s="4" t="s">
        <v>32</v>
      </c>
      <c r="E10" s="4" t="s">
        <v>33</v>
      </c>
      <c r="F10" s="4" t="s">
        <v>39</v>
      </c>
      <c r="G10" s="6">
        <v>51</v>
      </c>
      <c r="H10" s="6">
        <v>45</v>
      </c>
      <c r="I10" s="4" t="s">
        <v>40</v>
      </c>
      <c r="J10" s="2"/>
    </row>
    <row r="11" spans="1:10" ht="15" thickBot="1" x14ac:dyDescent="0.35">
      <c r="A11" s="4" t="s">
        <v>26</v>
      </c>
      <c r="B11" s="4" t="s">
        <v>10</v>
      </c>
      <c r="C11" s="5" t="s">
        <v>36</v>
      </c>
      <c r="D11" s="4" t="s">
        <v>37</v>
      </c>
      <c r="E11" s="4" t="s">
        <v>38</v>
      </c>
      <c r="F11" s="4" t="s">
        <v>39</v>
      </c>
      <c r="G11" s="6">
        <v>79</v>
      </c>
      <c r="H11" s="6">
        <v>74</v>
      </c>
      <c r="I11" s="4" t="s">
        <v>49</v>
      </c>
      <c r="J11" s="2"/>
    </row>
    <row r="12" spans="1:10" ht="15" thickBot="1" x14ac:dyDescent="0.35">
      <c r="A12" s="4" t="s">
        <v>26</v>
      </c>
      <c r="B12" s="4" t="s">
        <v>10</v>
      </c>
      <c r="C12" s="5" t="s">
        <v>42</v>
      </c>
      <c r="D12" s="4" t="s">
        <v>32</v>
      </c>
      <c r="E12" s="4" t="s">
        <v>33</v>
      </c>
      <c r="F12" s="4" t="s">
        <v>39</v>
      </c>
      <c r="G12" s="6">
        <v>32</v>
      </c>
      <c r="H12" s="6">
        <v>31</v>
      </c>
      <c r="I12" s="4" t="s">
        <v>49</v>
      </c>
      <c r="J12" s="2"/>
    </row>
    <row r="13" spans="1:10" ht="15" thickBot="1" x14ac:dyDescent="0.35">
      <c r="A13" s="4" t="s">
        <v>26</v>
      </c>
      <c r="B13" s="4" t="s">
        <v>10</v>
      </c>
      <c r="C13" s="5" t="s">
        <v>44</v>
      </c>
      <c r="D13" s="4" t="s">
        <v>32</v>
      </c>
      <c r="E13" s="4" t="s">
        <v>33</v>
      </c>
      <c r="F13" s="4" t="s">
        <v>45</v>
      </c>
      <c r="G13" s="6">
        <v>95</v>
      </c>
      <c r="H13" s="6">
        <v>93</v>
      </c>
      <c r="I13" s="4" t="s">
        <v>51</v>
      </c>
      <c r="J13" s="2"/>
    </row>
    <row r="14" spans="1:10" ht="15" thickBot="1" x14ac:dyDescent="0.35">
      <c r="A14" s="4" t="s">
        <v>26</v>
      </c>
      <c r="B14" s="4" t="s">
        <v>9</v>
      </c>
      <c r="C14" s="5" t="s">
        <v>55</v>
      </c>
      <c r="D14" s="4" t="s">
        <v>37</v>
      </c>
      <c r="E14" s="4" t="s">
        <v>38</v>
      </c>
      <c r="F14" s="4" t="s">
        <v>34</v>
      </c>
      <c r="G14" s="6">
        <v>90</v>
      </c>
      <c r="H14" s="6">
        <v>83</v>
      </c>
      <c r="I14" s="4" t="s">
        <v>53</v>
      </c>
      <c r="J14" s="2"/>
    </row>
    <row r="15" spans="1:10" ht="15" thickBot="1" x14ac:dyDescent="0.35">
      <c r="A15" s="4" t="s">
        <v>26</v>
      </c>
      <c r="B15" s="4" t="s">
        <v>9</v>
      </c>
      <c r="C15" s="5" t="s">
        <v>42</v>
      </c>
      <c r="D15" s="4" t="s">
        <v>32</v>
      </c>
      <c r="E15" s="4" t="s">
        <v>33</v>
      </c>
      <c r="F15" s="4" t="s">
        <v>39</v>
      </c>
      <c r="G15" s="6">
        <v>71</v>
      </c>
      <c r="H15" s="6">
        <v>67</v>
      </c>
      <c r="I15" s="4" t="s">
        <v>40</v>
      </c>
      <c r="J15" s="2"/>
    </row>
    <row r="16" spans="1:10" ht="15" thickBot="1" x14ac:dyDescent="0.35">
      <c r="A16" s="4" t="s">
        <v>27</v>
      </c>
      <c r="B16" s="4" t="s">
        <v>9</v>
      </c>
      <c r="C16" s="5" t="s">
        <v>52</v>
      </c>
      <c r="D16" s="4" t="s">
        <v>47</v>
      </c>
      <c r="E16" s="4" t="s">
        <v>48</v>
      </c>
      <c r="F16" s="4" t="s">
        <v>50</v>
      </c>
      <c r="G16" s="6">
        <v>91</v>
      </c>
      <c r="H16" s="6">
        <v>88</v>
      </c>
      <c r="I16" s="4" t="s">
        <v>35</v>
      </c>
      <c r="J16" s="2"/>
    </row>
    <row r="17" spans="1:10" ht="15" thickBot="1" x14ac:dyDescent="0.35">
      <c r="A17" s="4" t="s">
        <v>27</v>
      </c>
      <c r="B17" s="4" t="s">
        <v>10</v>
      </c>
      <c r="C17" s="5" t="s">
        <v>31</v>
      </c>
      <c r="D17" s="4" t="s">
        <v>32</v>
      </c>
      <c r="E17" s="4" t="s">
        <v>33</v>
      </c>
      <c r="F17" s="4" t="s">
        <v>34</v>
      </c>
      <c r="G17" s="6">
        <v>74</v>
      </c>
      <c r="H17" s="6">
        <v>69</v>
      </c>
      <c r="I17" s="4" t="s">
        <v>40</v>
      </c>
      <c r="J17" s="2"/>
    </row>
    <row r="18" spans="1:10" ht="15" thickBot="1" x14ac:dyDescent="0.35">
      <c r="A18" s="4" t="s">
        <v>27</v>
      </c>
      <c r="B18" s="4" t="s">
        <v>10</v>
      </c>
      <c r="C18" s="5" t="s">
        <v>54</v>
      </c>
      <c r="D18" s="4" t="s">
        <v>37</v>
      </c>
      <c r="E18" s="4" t="s">
        <v>38</v>
      </c>
      <c r="F18" s="4" t="s">
        <v>45</v>
      </c>
      <c r="G18" s="6">
        <v>51</v>
      </c>
      <c r="H18" s="6">
        <v>50</v>
      </c>
      <c r="I18" s="4" t="s">
        <v>35</v>
      </c>
      <c r="J18" s="2"/>
    </row>
    <row r="19" spans="1:10" ht="15" thickBot="1" x14ac:dyDescent="0.35">
      <c r="A19" s="4" t="s">
        <v>27</v>
      </c>
      <c r="B19" s="4" t="s">
        <v>10</v>
      </c>
      <c r="C19" s="5" t="s">
        <v>46</v>
      </c>
      <c r="D19" s="4" t="s">
        <v>47</v>
      </c>
      <c r="E19" s="4" t="s">
        <v>48</v>
      </c>
      <c r="F19" s="4" t="s">
        <v>45</v>
      </c>
      <c r="G19" s="6">
        <v>78</v>
      </c>
      <c r="H19" s="6">
        <v>69</v>
      </c>
      <c r="I19" s="4" t="s">
        <v>40</v>
      </c>
      <c r="J19" s="2"/>
    </row>
    <row r="20" spans="1:10" ht="15" thickBot="1" x14ac:dyDescent="0.35">
      <c r="A20" s="4" t="s">
        <v>27</v>
      </c>
      <c r="B20" s="4" t="s">
        <v>10</v>
      </c>
      <c r="C20" s="5" t="s">
        <v>44</v>
      </c>
      <c r="D20" s="4" t="s">
        <v>32</v>
      </c>
      <c r="E20" s="4" t="s">
        <v>33</v>
      </c>
      <c r="F20" s="4" t="s">
        <v>43</v>
      </c>
      <c r="G20" s="6">
        <v>94</v>
      </c>
      <c r="H20" s="6">
        <v>91</v>
      </c>
      <c r="I20" s="4" t="s">
        <v>40</v>
      </c>
      <c r="J20" s="2"/>
    </row>
    <row r="21" spans="1:10" ht="15" thickBot="1" x14ac:dyDescent="0.35">
      <c r="A21" s="4" t="s">
        <v>27</v>
      </c>
      <c r="B21" s="4" t="s">
        <v>10</v>
      </c>
      <c r="C21" s="5" t="s">
        <v>42</v>
      </c>
      <c r="D21" s="4" t="s">
        <v>32</v>
      </c>
      <c r="E21" s="4" t="s">
        <v>33</v>
      </c>
      <c r="F21" s="4" t="s">
        <v>39</v>
      </c>
      <c r="G21" s="6">
        <v>93</v>
      </c>
      <c r="H21" s="6">
        <v>86</v>
      </c>
      <c r="I21" s="4" t="s">
        <v>49</v>
      </c>
      <c r="J21" s="2"/>
    </row>
    <row r="22" spans="1:10" ht="15" thickBot="1" x14ac:dyDescent="0.35">
      <c r="A22" s="4" t="s">
        <v>27</v>
      </c>
      <c r="B22" s="4" t="s">
        <v>10</v>
      </c>
      <c r="C22" s="5" t="s">
        <v>42</v>
      </c>
      <c r="D22" s="4" t="s">
        <v>32</v>
      </c>
      <c r="E22" s="4" t="s">
        <v>33</v>
      </c>
      <c r="F22" s="4" t="s">
        <v>45</v>
      </c>
      <c r="G22" s="6">
        <v>48</v>
      </c>
      <c r="H22" s="6">
        <v>44</v>
      </c>
      <c r="I22" s="4" t="s">
        <v>40</v>
      </c>
      <c r="J22" s="2"/>
    </row>
    <row r="23" spans="1:10" ht="15" thickBot="1" x14ac:dyDescent="0.35">
      <c r="A23" s="4" t="s">
        <v>27</v>
      </c>
      <c r="B23" s="4" t="s">
        <v>10</v>
      </c>
      <c r="C23" s="5" t="s">
        <v>41</v>
      </c>
      <c r="D23" s="4" t="s">
        <v>37</v>
      </c>
      <c r="E23" s="4" t="s">
        <v>38</v>
      </c>
      <c r="F23" s="4" t="s">
        <v>45</v>
      </c>
      <c r="G23" s="6">
        <v>23</v>
      </c>
      <c r="H23" s="6">
        <v>13</v>
      </c>
      <c r="I23" s="4" t="s">
        <v>35</v>
      </c>
      <c r="J23" s="2"/>
    </row>
    <row r="24" spans="1:10" ht="15" thickBot="1" x14ac:dyDescent="0.35">
      <c r="A24" s="4" t="s">
        <v>27</v>
      </c>
      <c r="B24" s="4" t="s">
        <v>10</v>
      </c>
      <c r="C24" s="5" t="s">
        <v>55</v>
      </c>
      <c r="D24" s="4" t="s">
        <v>37</v>
      </c>
      <c r="E24" s="4" t="s">
        <v>38</v>
      </c>
      <c r="F24" s="4" t="s">
        <v>43</v>
      </c>
      <c r="G24" s="6">
        <v>34</v>
      </c>
      <c r="H24" s="6">
        <v>24</v>
      </c>
      <c r="I24" s="4" t="s">
        <v>53</v>
      </c>
      <c r="J24" s="2"/>
    </row>
    <row r="25" spans="1:10" ht="15" thickBot="1" x14ac:dyDescent="0.35">
      <c r="A25" s="4" t="s">
        <v>27</v>
      </c>
      <c r="B25" s="4" t="s">
        <v>9</v>
      </c>
      <c r="C25" s="5" t="s">
        <v>30</v>
      </c>
      <c r="D25" s="4" t="s">
        <v>47</v>
      </c>
      <c r="E25" s="4" t="s">
        <v>48</v>
      </c>
      <c r="F25" s="4" t="s">
        <v>43</v>
      </c>
      <c r="G25" s="6">
        <v>70</v>
      </c>
      <c r="H25" s="6">
        <v>60</v>
      </c>
      <c r="I25" s="4" t="s">
        <v>35</v>
      </c>
      <c r="J25" s="2"/>
    </row>
    <row r="26" spans="1:10" ht="15" thickBot="1" x14ac:dyDescent="0.35">
      <c r="A26" s="4" t="s">
        <v>28</v>
      </c>
      <c r="B26" s="4" t="s">
        <v>10</v>
      </c>
      <c r="C26" s="5" t="s">
        <v>54</v>
      </c>
      <c r="D26" s="4" t="s">
        <v>37</v>
      </c>
      <c r="E26" s="4" t="s">
        <v>38</v>
      </c>
      <c r="F26" s="4" t="s">
        <v>39</v>
      </c>
      <c r="G26" s="6">
        <v>60</v>
      </c>
      <c r="H26" s="6">
        <v>58</v>
      </c>
      <c r="I26" s="4" t="s">
        <v>40</v>
      </c>
      <c r="J26" s="2"/>
    </row>
    <row r="27" spans="1:10" ht="15" thickBot="1" x14ac:dyDescent="0.35">
      <c r="A27" s="4" t="s">
        <v>28</v>
      </c>
      <c r="B27" s="4" t="s">
        <v>10</v>
      </c>
      <c r="C27" s="5" t="s">
        <v>44</v>
      </c>
      <c r="D27" s="4" t="s">
        <v>32</v>
      </c>
      <c r="E27" s="4" t="s">
        <v>33</v>
      </c>
      <c r="F27" s="4" t="s">
        <v>43</v>
      </c>
      <c r="G27" s="6">
        <v>95</v>
      </c>
      <c r="H27" s="6">
        <v>89</v>
      </c>
      <c r="I27" s="4" t="s">
        <v>53</v>
      </c>
      <c r="J27" s="2"/>
    </row>
    <row r="28" spans="1:10" ht="15" thickBot="1" x14ac:dyDescent="0.35">
      <c r="A28" s="4" t="s">
        <v>28</v>
      </c>
      <c r="B28" s="4" t="s">
        <v>10</v>
      </c>
      <c r="C28" s="5" t="s">
        <v>31</v>
      </c>
      <c r="D28" s="4" t="s">
        <v>32</v>
      </c>
      <c r="E28" s="4" t="s">
        <v>33</v>
      </c>
      <c r="F28" s="4" t="s">
        <v>39</v>
      </c>
      <c r="G28" s="6">
        <v>61</v>
      </c>
      <c r="H28" s="6">
        <v>58</v>
      </c>
      <c r="I28" s="4" t="s">
        <v>53</v>
      </c>
      <c r="J28" s="2"/>
    </row>
    <row r="29" spans="1:10" ht="15" thickBot="1" x14ac:dyDescent="0.35">
      <c r="A29" s="4" t="s">
        <v>28</v>
      </c>
      <c r="B29" s="4" t="s">
        <v>10</v>
      </c>
      <c r="C29" s="5" t="s">
        <v>31</v>
      </c>
      <c r="D29" s="4" t="s">
        <v>32</v>
      </c>
      <c r="E29" s="4" t="s">
        <v>33</v>
      </c>
      <c r="F29" s="4" t="s">
        <v>50</v>
      </c>
      <c r="G29" s="6">
        <v>29</v>
      </c>
      <c r="H29" s="6">
        <v>27</v>
      </c>
      <c r="I29" s="4" t="s">
        <v>49</v>
      </c>
      <c r="J29" s="2"/>
    </row>
    <row r="30" spans="1:10" ht="15" thickBot="1" x14ac:dyDescent="0.35">
      <c r="A30" s="4" t="s">
        <v>28</v>
      </c>
      <c r="B30" s="4" t="s">
        <v>10</v>
      </c>
      <c r="C30" s="5" t="s">
        <v>46</v>
      </c>
      <c r="D30" s="4" t="s">
        <v>47</v>
      </c>
      <c r="E30" s="4" t="s">
        <v>48</v>
      </c>
      <c r="F30" s="4" t="s">
        <v>45</v>
      </c>
      <c r="G30" s="6">
        <v>52</v>
      </c>
      <c r="H30" s="6">
        <v>48</v>
      </c>
      <c r="I30" s="4" t="s">
        <v>53</v>
      </c>
      <c r="J30" s="2"/>
    </row>
    <row r="31" spans="1:10" ht="15" thickBot="1" x14ac:dyDescent="0.35">
      <c r="A31" s="4" t="s">
        <v>28</v>
      </c>
      <c r="B31" s="4" t="s">
        <v>10</v>
      </c>
      <c r="C31" s="5" t="s">
        <v>52</v>
      </c>
      <c r="D31" s="4" t="s">
        <v>47</v>
      </c>
      <c r="E31" s="4" t="s">
        <v>48</v>
      </c>
      <c r="F31" s="4" t="s">
        <v>39</v>
      </c>
      <c r="G31" s="6">
        <v>20</v>
      </c>
      <c r="H31" s="6">
        <v>10</v>
      </c>
      <c r="I31" s="4" t="s">
        <v>49</v>
      </c>
      <c r="J31" s="2"/>
    </row>
    <row r="32" spans="1:10" ht="15" thickBot="1" x14ac:dyDescent="0.35">
      <c r="A32" s="4" t="s">
        <v>28</v>
      </c>
      <c r="B32" s="4" t="s">
        <v>10</v>
      </c>
      <c r="C32" s="5" t="s">
        <v>52</v>
      </c>
      <c r="D32" s="4" t="s">
        <v>47</v>
      </c>
      <c r="E32" s="4" t="s">
        <v>48</v>
      </c>
      <c r="F32" s="4" t="s">
        <v>43</v>
      </c>
      <c r="G32" s="6">
        <v>60</v>
      </c>
      <c r="H32" s="6">
        <v>53</v>
      </c>
      <c r="I32" s="4" t="s">
        <v>35</v>
      </c>
      <c r="J32" s="2"/>
    </row>
    <row r="33" spans="1:10" ht="15" thickBot="1" x14ac:dyDescent="0.35">
      <c r="A33" s="4" t="s">
        <v>28</v>
      </c>
      <c r="B33" s="4" t="s">
        <v>10</v>
      </c>
      <c r="C33" s="5" t="s">
        <v>54</v>
      </c>
      <c r="D33" s="4" t="s">
        <v>37</v>
      </c>
      <c r="E33" s="4" t="s">
        <v>38</v>
      </c>
      <c r="F33" s="4" t="s">
        <v>43</v>
      </c>
      <c r="G33" s="6">
        <v>70</v>
      </c>
      <c r="H33" s="6">
        <v>66</v>
      </c>
      <c r="I33" s="4" t="s">
        <v>35</v>
      </c>
      <c r="J33" s="2"/>
    </row>
    <row r="34" spans="1:10" ht="15" thickBot="1" x14ac:dyDescent="0.35">
      <c r="A34" s="4" t="s">
        <v>28</v>
      </c>
      <c r="B34" s="4" t="s">
        <v>10</v>
      </c>
      <c r="C34" s="5" t="s">
        <v>30</v>
      </c>
      <c r="D34" s="4" t="s">
        <v>47</v>
      </c>
      <c r="E34" s="4" t="s">
        <v>48</v>
      </c>
      <c r="F34" s="4" t="s">
        <v>45</v>
      </c>
      <c r="G34" s="6">
        <v>38</v>
      </c>
      <c r="H34" s="6">
        <v>32</v>
      </c>
      <c r="I34" s="4" t="s">
        <v>51</v>
      </c>
      <c r="J34" s="2"/>
    </row>
    <row r="35" spans="1:10" ht="15" thickBot="1" x14ac:dyDescent="0.35">
      <c r="A35" s="4" t="s">
        <v>28</v>
      </c>
      <c r="B35" s="4" t="s">
        <v>10</v>
      </c>
      <c r="C35" s="5" t="s">
        <v>42</v>
      </c>
      <c r="D35" s="4" t="s">
        <v>32</v>
      </c>
      <c r="E35" s="4" t="s">
        <v>33</v>
      </c>
      <c r="F35" s="4" t="s">
        <v>39</v>
      </c>
      <c r="G35" s="6">
        <v>99</v>
      </c>
      <c r="H35" s="6">
        <v>89</v>
      </c>
      <c r="I35" s="4" t="s">
        <v>53</v>
      </c>
      <c r="J35" s="2"/>
    </row>
    <row r="36" spans="1:10" ht="15" thickBot="1" x14ac:dyDescent="0.35">
      <c r="A36" s="4" t="s">
        <v>28</v>
      </c>
      <c r="B36" s="4" t="s">
        <v>10</v>
      </c>
      <c r="C36" s="5" t="s">
        <v>44</v>
      </c>
      <c r="D36" s="4" t="s">
        <v>32</v>
      </c>
      <c r="E36" s="4" t="s">
        <v>33</v>
      </c>
      <c r="F36" s="4" t="s">
        <v>34</v>
      </c>
      <c r="G36" s="6">
        <v>28</v>
      </c>
      <c r="H36" s="6">
        <v>22</v>
      </c>
      <c r="I36" s="4" t="s">
        <v>35</v>
      </c>
      <c r="J36" s="2"/>
    </row>
    <row r="37" spans="1:10" ht="15" thickBot="1" x14ac:dyDescent="0.35">
      <c r="A37" s="4" t="s">
        <v>28</v>
      </c>
      <c r="B37" s="4" t="s">
        <v>10</v>
      </c>
      <c r="C37" s="5" t="s">
        <v>54</v>
      </c>
      <c r="D37" s="4" t="s">
        <v>37</v>
      </c>
      <c r="E37" s="4" t="s">
        <v>38</v>
      </c>
      <c r="F37" s="4" t="s">
        <v>34</v>
      </c>
      <c r="G37" s="6">
        <v>74</v>
      </c>
      <c r="H37" s="6">
        <v>68</v>
      </c>
      <c r="I37" s="4" t="s">
        <v>49</v>
      </c>
      <c r="J37" s="2"/>
    </row>
    <row r="38" spans="1:10" ht="15" thickBot="1" x14ac:dyDescent="0.35">
      <c r="A38" s="4" t="s">
        <v>28</v>
      </c>
      <c r="B38" s="4" t="s">
        <v>9</v>
      </c>
      <c r="C38" s="5" t="s">
        <v>52</v>
      </c>
      <c r="D38" s="4" t="s">
        <v>47</v>
      </c>
      <c r="E38" s="4" t="s">
        <v>48</v>
      </c>
      <c r="F38" s="4" t="s">
        <v>39</v>
      </c>
      <c r="G38" s="6">
        <v>17</v>
      </c>
      <c r="H38" s="6">
        <v>9</v>
      </c>
      <c r="I38" s="4" t="s">
        <v>35</v>
      </c>
      <c r="J38" s="2"/>
    </row>
    <row r="39" spans="1:10" ht="15" thickBot="1" x14ac:dyDescent="0.35">
      <c r="A39" s="4" t="s">
        <v>28</v>
      </c>
      <c r="B39" s="4" t="s">
        <v>9</v>
      </c>
      <c r="C39" s="5" t="s">
        <v>46</v>
      </c>
      <c r="D39" s="4" t="s">
        <v>47</v>
      </c>
      <c r="E39" s="4" t="s">
        <v>48</v>
      </c>
      <c r="F39" s="4" t="s">
        <v>39</v>
      </c>
      <c r="G39" s="6">
        <v>51</v>
      </c>
      <c r="H39" s="6">
        <v>41</v>
      </c>
      <c r="I39" s="4" t="s">
        <v>51</v>
      </c>
      <c r="J39" s="2"/>
    </row>
    <row r="40" spans="1:10" ht="15" thickBot="1" x14ac:dyDescent="0.35">
      <c r="A40" s="4" t="s">
        <v>29</v>
      </c>
      <c r="B40" s="4" t="s">
        <v>10</v>
      </c>
      <c r="C40" s="5" t="s">
        <v>31</v>
      </c>
      <c r="D40" s="4" t="s">
        <v>32</v>
      </c>
      <c r="E40" s="4" t="s">
        <v>33</v>
      </c>
      <c r="F40" s="4" t="s">
        <v>34</v>
      </c>
      <c r="G40" s="6">
        <v>99</v>
      </c>
      <c r="H40" s="6">
        <v>90</v>
      </c>
      <c r="I40" s="4" t="s">
        <v>35</v>
      </c>
      <c r="J40" s="2"/>
    </row>
    <row r="41" spans="1:10" ht="15" thickBot="1" x14ac:dyDescent="0.35">
      <c r="A41" s="4" t="s">
        <v>29</v>
      </c>
      <c r="B41" s="4" t="s">
        <v>10</v>
      </c>
      <c r="C41" s="5" t="s">
        <v>54</v>
      </c>
      <c r="D41" s="4" t="s">
        <v>37</v>
      </c>
      <c r="E41" s="4" t="s">
        <v>38</v>
      </c>
      <c r="F41" s="4" t="s">
        <v>50</v>
      </c>
      <c r="G41" s="6">
        <v>69</v>
      </c>
      <c r="H41" s="6">
        <v>64</v>
      </c>
      <c r="I41" s="4" t="s">
        <v>40</v>
      </c>
      <c r="J41" s="2"/>
    </row>
    <row r="42" spans="1:10" ht="15" thickBot="1" x14ac:dyDescent="0.35">
      <c r="A42" s="4" t="s">
        <v>29</v>
      </c>
      <c r="B42" s="4" t="s">
        <v>10</v>
      </c>
      <c r="C42" s="5" t="s">
        <v>44</v>
      </c>
      <c r="D42" s="4" t="s">
        <v>32</v>
      </c>
      <c r="E42" s="4" t="s">
        <v>33</v>
      </c>
      <c r="F42" s="4" t="s">
        <v>34</v>
      </c>
      <c r="G42" s="6">
        <v>66</v>
      </c>
      <c r="H42" s="6">
        <v>58</v>
      </c>
      <c r="I42" s="4" t="s">
        <v>51</v>
      </c>
      <c r="J42" s="2"/>
    </row>
    <row r="43" spans="1:10" ht="15" thickBot="1" x14ac:dyDescent="0.35">
      <c r="A43" s="4" t="s">
        <v>29</v>
      </c>
      <c r="B43" s="4" t="s">
        <v>10</v>
      </c>
      <c r="C43" s="5" t="s">
        <v>54</v>
      </c>
      <c r="D43" s="4" t="s">
        <v>37</v>
      </c>
      <c r="E43" s="4" t="s">
        <v>38</v>
      </c>
      <c r="F43" s="4" t="s">
        <v>34</v>
      </c>
      <c r="G43" s="6">
        <v>37</v>
      </c>
      <c r="H43" s="6">
        <v>35</v>
      </c>
      <c r="I43" s="4" t="s">
        <v>53</v>
      </c>
      <c r="J43" s="2"/>
    </row>
    <row r="44" spans="1:10" ht="15" thickBot="1" x14ac:dyDescent="0.35">
      <c r="A44" s="4" t="s">
        <v>29</v>
      </c>
      <c r="B44" s="4" t="s">
        <v>10</v>
      </c>
      <c r="C44" s="5" t="s">
        <v>52</v>
      </c>
      <c r="D44" s="4" t="s">
        <v>47</v>
      </c>
      <c r="E44" s="4" t="s">
        <v>48</v>
      </c>
      <c r="F44" s="4" t="s">
        <v>45</v>
      </c>
      <c r="G44" s="6">
        <v>29</v>
      </c>
      <c r="H44" s="6">
        <v>22</v>
      </c>
      <c r="I44" s="4" t="s">
        <v>49</v>
      </c>
      <c r="J44" s="2"/>
    </row>
    <row r="45" spans="1:10" ht="15" thickBot="1" x14ac:dyDescent="0.35">
      <c r="A45" s="4" t="s">
        <v>29</v>
      </c>
      <c r="B45" s="4" t="s">
        <v>10</v>
      </c>
      <c r="C45" s="5" t="s">
        <v>44</v>
      </c>
      <c r="D45" s="4" t="s">
        <v>32</v>
      </c>
      <c r="E45" s="4" t="s">
        <v>33</v>
      </c>
      <c r="F45" s="4" t="s">
        <v>45</v>
      </c>
      <c r="G45" s="6">
        <v>73</v>
      </c>
      <c r="H45" s="6">
        <v>68</v>
      </c>
      <c r="I45" s="4" t="s">
        <v>35</v>
      </c>
      <c r="J45" s="2"/>
    </row>
    <row r="46" spans="1:10" ht="15" thickBot="1" x14ac:dyDescent="0.35">
      <c r="A46" s="4" t="s">
        <v>29</v>
      </c>
      <c r="B46" s="4" t="s">
        <v>10</v>
      </c>
      <c r="C46" s="5" t="s">
        <v>36</v>
      </c>
      <c r="D46" s="4" t="s">
        <v>37</v>
      </c>
      <c r="E46" s="4" t="s">
        <v>38</v>
      </c>
      <c r="F46" s="4" t="s">
        <v>34</v>
      </c>
      <c r="G46" s="6">
        <v>55</v>
      </c>
      <c r="H46" s="6">
        <v>49</v>
      </c>
      <c r="I46" s="4" t="s">
        <v>35</v>
      </c>
      <c r="J46" s="2"/>
    </row>
    <row r="47" spans="1:10" ht="15" thickBot="1" x14ac:dyDescent="0.35">
      <c r="A47" s="4" t="s">
        <v>29</v>
      </c>
      <c r="B47" s="4" t="s">
        <v>10</v>
      </c>
      <c r="C47" s="5" t="s">
        <v>36</v>
      </c>
      <c r="D47" s="4" t="s">
        <v>37</v>
      </c>
      <c r="E47" s="4" t="s">
        <v>38</v>
      </c>
      <c r="F47" s="4" t="s">
        <v>50</v>
      </c>
      <c r="G47" s="6">
        <v>48</v>
      </c>
      <c r="H47" s="6">
        <v>38</v>
      </c>
      <c r="I47" s="4" t="s">
        <v>35</v>
      </c>
      <c r="J47" s="2"/>
    </row>
    <row r="48" spans="1:10" ht="15" thickBot="1" x14ac:dyDescent="0.35">
      <c r="A48" s="4" t="s">
        <v>29</v>
      </c>
      <c r="B48" s="4" t="s">
        <v>10</v>
      </c>
      <c r="C48" s="5" t="s">
        <v>30</v>
      </c>
      <c r="D48" s="4" t="s">
        <v>47</v>
      </c>
      <c r="E48" s="4" t="s">
        <v>48</v>
      </c>
      <c r="F48" s="4" t="s">
        <v>43</v>
      </c>
      <c r="G48" s="6">
        <v>41</v>
      </c>
      <c r="H48" s="6">
        <v>37</v>
      </c>
      <c r="I48" s="4" t="s">
        <v>35</v>
      </c>
      <c r="J48" s="2"/>
    </row>
    <row r="49" spans="1:10" ht="15" thickBot="1" x14ac:dyDescent="0.35">
      <c r="A49" s="4" t="s">
        <v>29</v>
      </c>
      <c r="B49" s="4" t="s">
        <v>10</v>
      </c>
      <c r="C49" s="5" t="s">
        <v>30</v>
      </c>
      <c r="D49" s="4" t="s">
        <v>47</v>
      </c>
      <c r="E49" s="4" t="s">
        <v>48</v>
      </c>
      <c r="F49" s="4" t="s">
        <v>34</v>
      </c>
      <c r="G49" s="6">
        <v>81</v>
      </c>
      <c r="H49" s="6">
        <v>74</v>
      </c>
      <c r="I49" s="4" t="s">
        <v>53</v>
      </c>
      <c r="J49" s="2"/>
    </row>
    <row r="50" spans="1:10" ht="15" thickBot="1" x14ac:dyDescent="0.35">
      <c r="A50" s="4" t="s">
        <v>29</v>
      </c>
      <c r="B50" s="4" t="s">
        <v>10</v>
      </c>
      <c r="C50" s="5" t="s">
        <v>30</v>
      </c>
      <c r="D50" s="4" t="s">
        <v>47</v>
      </c>
      <c r="E50" s="4" t="s">
        <v>48</v>
      </c>
      <c r="F50" s="4" t="s">
        <v>34</v>
      </c>
      <c r="G50" s="6">
        <v>10</v>
      </c>
      <c r="H50" s="6">
        <v>6</v>
      </c>
      <c r="I50" s="4" t="s">
        <v>35</v>
      </c>
      <c r="J50" s="2"/>
    </row>
    <row r="51" spans="1:10" ht="15" thickBot="1" x14ac:dyDescent="0.35">
      <c r="A51" s="4" t="s">
        <v>29</v>
      </c>
      <c r="B51" s="4" t="s">
        <v>9</v>
      </c>
      <c r="C51" s="5" t="s">
        <v>52</v>
      </c>
      <c r="D51" s="4" t="s">
        <v>47</v>
      </c>
      <c r="E51" s="4" t="s">
        <v>48</v>
      </c>
      <c r="F51" s="4" t="s">
        <v>50</v>
      </c>
      <c r="G51" s="6">
        <v>76</v>
      </c>
      <c r="H51" s="6">
        <v>69</v>
      </c>
      <c r="I51" s="4" t="s">
        <v>51</v>
      </c>
      <c r="J5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DESCRIPTION</vt:lpstr>
      <vt:lpstr>Buyer</vt:lpstr>
      <vt:lpstr>Product</vt:lpstr>
      <vt:lpstr>Vendor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Hansen</dc:creator>
  <cp:lastModifiedBy>Kate</cp:lastModifiedBy>
  <dcterms:created xsi:type="dcterms:W3CDTF">2023-05-12T14:12:14Z</dcterms:created>
  <dcterms:modified xsi:type="dcterms:W3CDTF">2023-10-15T17:32:53Z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41292601-c3f6-4b90-ab2d-a8409e161108</vt:lpwstr>
  </property>
</Properties>
</file>